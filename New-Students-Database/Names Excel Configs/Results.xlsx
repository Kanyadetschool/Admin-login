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r\Desktop\Github\Adminstrators Portal\New-Students-Database\Names Excel Configs\"/>
    </mc:Choice>
  </mc:AlternateContent>
  <xr:revisionPtr revIDLastSave="0" documentId="13_ncr:1_{34171288-F761-4079-9EEF-1664BC3E11F4}" xr6:coauthVersionLast="47" xr6:coauthVersionMax="47" xr10:uidLastSave="{00000000-0000-0000-0000-000000000000}"/>
  <bookViews>
    <workbookView xWindow="-110" yWindow="-110" windowWidth="19420" windowHeight="10300" tabRatio="922" xr2:uid="{C51BCCA3-3C50-46F0-B09E-133BF201C6B5}"/>
  </bookViews>
  <sheets>
    <sheet name="Grade 1" sheetId="11" r:id="rId1"/>
    <sheet name="Grade 2" sheetId="2" r:id="rId2"/>
    <sheet name="Grade 3" sheetId="3" r:id="rId3"/>
    <sheet name="Grade 4" sheetId="4" r:id="rId4"/>
    <sheet name="Grade 5" sheetId="5" r:id="rId5"/>
    <sheet name="Grade 6" sheetId="6" r:id="rId6"/>
    <sheet name="Grade 7" sheetId="7" r:id="rId7"/>
    <sheet name="Grade 8" sheetId="8" r:id="rId8"/>
    <sheet name="Grade 9" sheetId="9" r:id="rId9"/>
    <sheet name="Sheet2" sheetId="12" r:id="rId10"/>
  </sheets>
  <externalReferences>
    <externalReference r:id="rId11"/>
  </externalReferences>
  <definedNames>
    <definedName name="_xlnm._FilterDatabase" localSheetId="0" hidden="1">'Grade 1'!$C$1:$E$1</definedName>
    <definedName name="_xlnm._FilterDatabase" localSheetId="3" hidden="1">'Grade 4'!$A$14:$J$72</definedName>
    <definedName name="_xlnm._FilterDatabase" localSheetId="4" hidden="1">'Grade 5'!$A$14:$J$67</definedName>
    <definedName name="KeyCustom1">#REF!</definedName>
    <definedName name="KeyCustom2">#REF!</definedName>
    <definedName name="KeyPersonal">#REF!</definedName>
    <definedName name="KeySick">#REF!</definedName>
    <definedName name="KeyVacation">#REF!</definedName>
    <definedName name="_xlnm.Print_Area" localSheetId="0">'Grade 1'!$C$1:$E$1</definedName>
    <definedName name="_xlnm.Print_Titles" localSheetId="0">'Grade 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1" l="1"/>
  <c r="J3" i="11"/>
  <c r="J2" i="11"/>
  <c r="H3" i="11"/>
  <c r="K2" i="11"/>
  <c r="K3" i="11"/>
  <c r="A2" i="3" l="1" a="1"/>
  <c r="A2" i="3" s="1"/>
  <c r="A15" i="7" a="1"/>
  <c r="A15" i="7" s="1"/>
  <c r="A15" i="6" a="1"/>
  <c r="A15" i="6" s="1"/>
  <c r="A15" i="5" a="1"/>
  <c r="A15" i="5" s="1"/>
  <c r="A15" i="4" a="1"/>
  <c r="A15" i="4" s="1"/>
  <c r="A15" i="2" a="1"/>
  <c r="A15" i="2" s="1"/>
  <c r="A15" i="9" a="1"/>
  <c r="A15" i="9" s="1"/>
  <c r="A15" i="8" a="1"/>
  <c r="A1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<sst xmlns="http://schemas.openxmlformats.org/spreadsheetml/2006/main" count="3086" uniqueCount="1323">
  <si>
    <t>Gender</t>
  </si>
  <si>
    <t>Date of Birth</t>
  </si>
  <si>
    <t>None</t>
  </si>
  <si>
    <t>8MELNM</t>
  </si>
  <si>
    <t>48VZKU</t>
  </si>
  <si>
    <t>T92UUM</t>
  </si>
  <si>
    <t>434RLN</t>
  </si>
  <si>
    <t>RCZ5D5</t>
  </si>
  <si>
    <t>3070LNYP</t>
  </si>
  <si>
    <t>UQVVP9</t>
  </si>
  <si>
    <t>3507LNYP</t>
  </si>
  <si>
    <t>XGGZWM</t>
  </si>
  <si>
    <t>EVMK47</t>
  </si>
  <si>
    <t>UJM2F3</t>
  </si>
  <si>
    <t>8TND6D</t>
  </si>
  <si>
    <t>NJWKFY</t>
  </si>
  <si>
    <t>3569LNYP</t>
  </si>
  <si>
    <t>HSEP3S</t>
  </si>
  <si>
    <t>33YN7M</t>
  </si>
  <si>
    <t>BFEZAC</t>
  </si>
  <si>
    <t>HBBQBJ</t>
  </si>
  <si>
    <t>VJ4GTZ</t>
  </si>
  <si>
    <t>KMZ2V7</t>
  </si>
  <si>
    <t>96YYY5</t>
  </si>
  <si>
    <t>3605LNYP</t>
  </si>
  <si>
    <t>E5HHPW</t>
  </si>
  <si>
    <t>3939LNYP</t>
  </si>
  <si>
    <t>PMH6KW</t>
  </si>
  <si>
    <t>RZMRQQ</t>
  </si>
  <si>
    <t>FM8UC6</t>
  </si>
  <si>
    <t>X9AGNE</t>
  </si>
  <si>
    <t>2TMPSZ</t>
  </si>
  <si>
    <t>4UE7FJ</t>
  </si>
  <si>
    <t>HNCYEL</t>
  </si>
  <si>
    <t>VHCXUU</t>
  </si>
  <si>
    <t>SFTS5Y</t>
  </si>
  <si>
    <t>K8UA9R</t>
  </si>
  <si>
    <t>7NVSDC</t>
  </si>
  <si>
    <t>3606LNYP</t>
  </si>
  <si>
    <t>R3CB7B</t>
  </si>
  <si>
    <t>QGMTD6</t>
  </si>
  <si>
    <t>YUEJMY</t>
  </si>
  <si>
    <t>DQ7FBG</t>
  </si>
  <si>
    <t>CNW3HN</t>
  </si>
  <si>
    <t>PBK9NE</t>
  </si>
  <si>
    <t>X9GRET</t>
  </si>
  <si>
    <t>T8QD52</t>
  </si>
  <si>
    <t>83VQBB</t>
  </si>
  <si>
    <t>S52287</t>
  </si>
  <si>
    <t>HK8DFS</t>
  </si>
  <si>
    <t>9JVNJ8</t>
  </si>
  <si>
    <t>XMF6U9</t>
  </si>
  <si>
    <t>3EV4XD</t>
  </si>
  <si>
    <t>XQLRNC</t>
  </si>
  <si>
    <t>4W5XP2</t>
  </si>
  <si>
    <t>YY7N8T</t>
  </si>
  <si>
    <t>6UCQSD</t>
  </si>
  <si>
    <t>PHRSW2</t>
  </si>
  <si>
    <t>XF7VEE</t>
  </si>
  <si>
    <t>3535LNYP</t>
  </si>
  <si>
    <t>6CJMYC</t>
  </si>
  <si>
    <t>836F3V</t>
  </si>
  <si>
    <t>HCKE5B</t>
  </si>
  <si>
    <t>CTDKY6</t>
  </si>
  <si>
    <t>CS2C3M</t>
  </si>
  <si>
    <t>E48VRW</t>
  </si>
  <si>
    <t>P3TTRZ</t>
  </si>
  <si>
    <t>XQP9H4</t>
  </si>
  <si>
    <t>HEFWMU</t>
  </si>
  <si>
    <t>Z5FE6Q</t>
  </si>
  <si>
    <t>Z6H55T</t>
  </si>
  <si>
    <t>JXR6EE</t>
  </si>
  <si>
    <t>UCMYTT</t>
  </si>
  <si>
    <t>VW4A6D</t>
  </si>
  <si>
    <t>3F2EXP</t>
  </si>
  <si>
    <t>5XAAKW</t>
  </si>
  <si>
    <t>FTEVKU</t>
  </si>
  <si>
    <t>G5HFT4</t>
  </si>
  <si>
    <t>KNBCCJ</t>
  </si>
  <si>
    <t>S2GWAP</t>
  </si>
  <si>
    <t>E4G4FD</t>
  </si>
  <si>
    <t>H6T92C</t>
  </si>
  <si>
    <t>2KPWT2</t>
  </si>
  <si>
    <t>FVWPBX</t>
  </si>
  <si>
    <t>75ZV5V</t>
  </si>
  <si>
    <t>BAQD2C</t>
  </si>
  <si>
    <t>PUGY3T</t>
  </si>
  <si>
    <t>8NN8RZ</t>
  </si>
  <si>
    <t>4V3CBG</t>
  </si>
  <si>
    <t>UX9MUU</t>
  </si>
  <si>
    <t>ATUZMA</t>
  </si>
  <si>
    <t>Q7K8MP</t>
  </si>
  <si>
    <t>VPPA3A</t>
  </si>
  <si>
    <t>V4AJXU</t>
  </si>
  <si>
    <t>R7HREW</t>
  </si>
  <si>
    <t>66BD5S</t>
  </si>
  <si>
    <t>P3WKY5</t>
  </si>
  <si>
    <t>JS78S6</t>
  </si>
  <si>
    <t>WSZ2GJ</t>
  </si>
  <si>
    <t>SHU6CZ</t>
  </si>
  <si>
    <t>3JVY7V</t>
  </si>
  <si>
    <t>BJCUQT</t>
  </si>
  <si>
    <t>FJT5GA</t>
  </si>
  <si>
    <t>UGHMUV</t>
  </si>
  <si>
    <t>TXYZXU</t>
  </si>
  <si>
    <t>TNSS3M</t>
  </si>
  <si>
    <t>BH5PMV</t>
  </si>
  <si>
    <t>8YXDNM</t>
  </si>
  <si>
    <t>A556W8</t>
  </si>
  <si>
    <t>2N9KKP</t>
  </si>
  <si>
    <t>EDEP82</t>
  </si>
  <si>
    <t>Y2QBQA</t>
  </si>
  <si>
    <t>9TCFPH</t>
  </si>
  <si>
    <t>VTECZH</t>
  </si>
  <si>
    <t>XZRRYC</t>
  </si>
  <si>
    <t>EFW6PU</t>
  </si>
  <si>
    <t>2XEX8Z</t>
  </si>
  <si>
    <t>A6SZK6</t>
  </si>
  <si>
    <t>J7ZN54</t>
  </si>
  <si>
    <t>T45NY3</t>
  </si>
  <si>
    <t>JKJT63</t>
  </si>
  <si>
    <t>T7PCF4</t>
  </si>
  <si>
    <t>D69Q4Z</t>
  </si>
  <si>
    <t>D7PNR8</t>
  </si>
  <si>
    <t>T2F5ER</t>
  </si>
  <si>
    <t>Y2PYFF</t>
  </si>
  <si>
    <t>3049LNYP</t>
  </si>
  <si>
    <t>GYG29C</t>
  </si>
  <si>
    <t>JJFGMB</t>
  </si>
  <si>
    <t>6TYZHD</t>
  </si>
  <si>
    <t>SHHTG5</t>
  </si>
  <si>
    <t>NRSUMA</t>
  </si>
  <si>
    <t>FGXACK</t>
  </si>
  <si>
    <t>99GJGK</t>
  </si>
  <si>
    <t>L0601103341</t>
  </si>
  <si>
    <t>3ABSYQ</t>
  </si>
  <si>
    <t>2XVGJX</t>
  </si>
  <si>
    <t>RY2DYK</t>
  </si>
  <si>
    <t>TESDYB</t>
  </si>
  <si>
    <t>4Q8BXJ</t>
  </si>
  <si>
    <t>2N63A4</t>
  </si>
  <si>
    <t>GABK5Y</t>
  </si>
  <si>
    <t>MBU48R</t>
  </si>
  <si>
    <t>4NEV2Q</t>
  </si>
  <si>
    <t>8BBGSZ</t>
  </si>
  <si>
    <t>EYG5B4</t>
  </si>
  <si>
    <t>L0891003050</t>
  </si>
  <si>
    <t>CTNXCT</t>
  </si>
  <si>
    <t>E3VNTN</t>
  </si>
  <si>
    <t>C347U7</t>
  </si>
  <si>
    <t>65TUQ2</t>
  </si>
  <si>
    <t>WHE3C8</t>
  </si>
  <si>
    <t>VND69M</t>
  </si>
  <si>
    <t>TK5QFK</t>
  </si>
  <si>
    <t>RDQXYY</t>
  </si>
  <si>
    <t>PTYBMJ</t>
  </si>
  <si>
    <t>UQCNQS</t>
  </si>
  <si>
    <t>V54KWZ</t>
  </si>
  <si>
    <t>ZSUNFR</t>
  </si>
  <si>
    <t>AES9DV</t>
  </si>
  <si>
    <t>5XX6WX</t>
  </si>
  <si>
    <t>475WEU</t>
  </si>
  <si>
    <t>6P8FDP</t>
  </si>
  <si>
    <t>1919LNYP</t>
  </si>
  <si>
    <t>ADD758</t>
  </si>
  <si>
    <t>84TBW4</t>
  </si>
  <si>
    <t>B227EX</t>
  </si>
  <si>
    <t>2ZURZC</t>
  </si>
  <si>
    <t>8H6BZ5</t>
  </si>
  <si>
    <t>XHDCZ9</t>
  </si>
  <si>
    <t>C9D29J</t>
  </si>
  <si>
    <t>Z2SE8N</t>
  </si>
  <si>
    <t>AEM7WM</t>
  </si>
  <si>
    <t>YUYZ7J</t>
  </si>
  <si>
    <t>DE5SRT</t>
  </si>
  <si>
    <t>HGUVJV</t>
  </si>
  <si>
    <t>3CTP3U</t>
  </si>
  <si>
    <t>4VZ5A6</t>
  </si>
  <si>
    <t>SUVMXG</t>
  </si>
  <si>
    <t>CANBZ9</t>
  </si>
  <si>
    <t>VWEU47</t>
  </si>
  <si>
    <t>SVVU4D</t>
  </si>
  <si>
    <t>4KBK7Z</t>
  </si>
  <si>
    <t>4GEDBG</t>
  </si>
  <si>
    <t>CFWSK5</t>
  </si>
  <si>
    <t>7KCBV8</t>
  </si>
  <si>
    <t>GKC7YR</t>
  </si>
  <si>
    <t>K8PHAN</t>
  </si>
  <si>
    <t>DMWSWG</t>
  </si>
  <si>
    <t>5D8Y5Z</t>
  </si>
  <si>
    <t>3575LNYP</t>
  </si>
  <si>
    <t>UQ7G88</t>
  </si>
  <si>
    <t>M33Z6Y</t>
  </si>
  <si>
    <t>9JM6H9</t>
  </si>
  <si>
    <t>ZEE79K</t>
  </si>
  <si>
    <t>NPKURC</t>
  </si>
  <si>
    <t>3QGZV5</t>
  </si>
  <si>
    <t>7FM7UY</t>
  </si>
  <si>
    <t>N5ZFW2</t>
  </si>
  <si>
    <t>JKXETK</t>
  </si>
  <si>
    <t>JG5KXN</t>
  </si>
  <si>
    <t>HHDRY6</t>
  </si>
  <si>
    <t>L2532305317</t>
  </si>
  <si>
    <t>GDSNG4</t>
  </si>
  <si>
    <t>45X28X</t>
  </si>
  <si>
    <t>HH2ZGT</t>
  </si>
  <si>
    <t>KEUJ99</t>
  </si>
  <si>
    <t>VM33X8</t>
  </si>
  <si>
    <t>L2532305313</t>
  </si>
  <si>
    <t>KDP7HA</t>
  </si>
  <si>
    <t>A2QSEF</t>
  </si>
  <si>
    <t>YRCDXR</t>
  </si>
  <si>
    <t>9DD9GA</t>
  </si>
  <si>
    <t>4CB82B</t>
  </si>
  <si>
    <t>7GU3BE</t>
  </si>
  <si>
    <t>FM6MTN</t>
  </si>
  <si>
    <t>VP642Q</t>
  </si>
  <si>
    <t>8FA9TN</t>
  </si>
  <si>
    <t>WDGX3F</t>
  </si>
  <si>
    <t>U722DM</t>
  </si>
  <si>
    <t>A5ZJTH</t>
  </si>
  <si>
    <t>2GAZWC</t>
  </si>
  <si>
    <t>BYP8UD</t>
  </si>
  <si>
    <t>HAY7UX</t>
  </si>
  <si>
    <t>MAS3S2</t>
  </si>
  <si>
    <t>82D46R</t>
  </si>
  <si>
    <t>V6THQ9</t>
  </si>
  <si>
    <t>UNMA5Q</t>
  </si>
  <si>
    <t>X29YKF</t>
  </si>
  <si>
    <t>NAACJ6</t>
  </si>
  <si>
    <t>8RXS2F</t>
  </si>
  <si>
    <t>KZ43F2</t>
  </si>
  <si>
    <t>D9K6NM</t>
  </si>
  <si>
    <t>SYHYMR</t>
  </si>
  <si>
    <t>DTHQME</t>
  </si>
  <si>
    <t>UJQ467</t>
  </si>
  <si>
    <t>7GCBXC</t>
  </si>
  <si>
    <t>BJJHR4</t>
  </si>
  <si>
    <t>X8V5FZ</t>
  </si>
  <si>
    <t>RG7JDU</t>
  </si>
  <si>
    <t>KB3N5U</t>
  </si>
  <si>
    <t>AKZVCW</t>
  </si>
  <si>
    <t>KJW45N</t>
  </si>
  <si>
    <t>BJP7JU</t>
  </si>
  <si>
    <t>SBTXYY</t>
  </si>
  <si>
    <t>J8P8HV</t>
  </si>
  <si>
    <t>Y6EKPT</t>
  </si>
  <si>
    <t>59B898</t>
  </si>
  <si>
    <t>9HXJ5J</t>
  </si>
  <si>
    <t>DZUYQX</t>
  </si>
  <si>
    <t>N59BF5</t>
  </si>
  <si>
    <t>F2HSEZ</t>
  </si>
  <si>
    <t>ZJEG5C</t>
  </si>
  <si>
    <t>VJDX9N</t>
  </si>
  <si>
    <t>9YYQWR</t>
  </si>
  <si>
    <t>EWKG52</t>
  </si>
  <si>
    <t>YYFSTJ</t>
  </si>
  <si>
    <t>5A8WR9</t>
  </si>
  <si>
    <t>QKG6YB</t>
  </si>
  <si>
    <t>UF4W8X</t>
  </si>
  <si>
    <t>3JJXZA</t>
  </si>
  <si>
    <t>6JHK38</t>
  </si>
  <si>
    <t>XV5NX7</t>
  </si>
  <si>
    <t>GY5ZNY</t>
  </si>
  <si>
    <t>EZ942J</t>
  </si>
  <si>
    <t>67S9BE</t>
  </si>
  <si>
    <t>CNSMV5</t>
  </si>
  <si>
    <t>ERCV2F</t>
  </si>
  <si>
    <t>772YB7</t>
  </si>
  <si>
    <t>C57V4P</t>
  </si>
  <si>
    <t>JE5B4D</t>
  </si>
  <si>
    <t>BANX8B</t>
  </si>
  <si>
    <t>DUZZUH</t>
  </si>
  <si>
    <t>NQZU6Q</t>
  </si>
  <si>
    <t>XXRD8Q</t>
  </si>
  <si>
    <t>ET72VN</t>
  </si>
  <si>
    <t>EV76RE</t>
  </si>
  <si>
    <t>3DMJR5</t>
  </si>
  <si>
    <t>FH2CBN</t>
  </si>
  <si>
    <t>T2JZX3</t>
  </si>
  <si>
    <t>596PPE</t>
  </si>
  <si>
    <t>6BX7Q5</t>
  </si>
  <si>
    <t>3XCUXE</t>
  </si>
  <si>
    <t>Z4X4B8</t>
  </si>
  <si>
    <t>W4X45R</t>
  </si>
  <si>
    <t>TTSVPT</t>
  </si>
  <si>
    <t>X34AAG</t>
  </si>
  <si>
    <t>UK8YXT</t>
  </si>
  <si>
    <t>8JFAE8</t>
  </si>
  <si>
    <t>QPQN4Q</t>
  </si>
  <si>
    <t>XEHR57</t>
  </si>
  <si>
    <t>MS5VBH</t>
  </si>
  <si>
    <t>L0264754522</t>
  </si>
  <si>
    <t>YE6NKB</t>
  </si>
  <si>
    <t>HJ4K86</t>
  </si>
  <si>
    <t>FVYJ4C</t>
  </si>
  <si>
    <t>7YVFRE</t>
  </si>
  <si>
    <t>HZG8NS</t>
  </si>
  <si>
    <t>HHT5CZ</t>
  </si>
  <si>
    <t>Q4DA3T</t>
  </si>
  <si>
    <t>VNR8XJ</t>
  </si>
  <si>
    <t>CSCF2H</t>
  </si>
  <si>
    <t>A4Z4HV</t>
  </si>
  <si>
    <t>SBMWUM</t>
  </si>
  <si>
    <t>9TR7H6</t>
  </si>
  <si>
    <t>QZYCBZ</t>
  </si>
  <si>
    <t>ZT7YN7</t>
  </si>
  <si>
    <t>BNNSRZ</t>
  </si>
  <si>
    <t>W64K27</t>
  </si>
  <si>
    <t>MWBQCE</t>
  </si>
  <si>
    <t>WNP5NS</t>
  </si>
  <si>
    <t>EB44WZ</t>
  </si>
  <si>
    <t>KFF2HP</t>
  </si>
  <si>
    <t>X72MS9</t>
  </si>
  <si>
    <t>2YCA97</t>
  </si>
  <si>
    <t>3NUSE7</t>
  </si>
  <si>
    <t>YT534U</t>
  </si>
  <si>
    <t>NEQ622</t>
  </si>
  <si>
    <t>43RF9M</t>
  </si>
  <si>
    <t>T29HY7</t>
  </si>
  <si>
    <t>YZ2V6R</t>
  </si>
  <si>
    <t>UCY9J3</t>
  </si>
  <si>
    <t>MP65NP</t>
  </si>
  <si>
    <t>E4SYUW</t>
  </si>
  <si>
    <t>6XAS7S</t>
  </si>
  <si>
    <t>XJU4NV</t>
  </si>
  <si>
    <t>J4ZP2D</t>
  </si>
  <si>
    <t>6YH72F</t>
  </si>
  <si>
    <t>RV3FNP</t>
  </si>
  <si>
    <t>6VU9YA</t>
  </si>
  <si>
    <t>4ZT89V</t>
  </si>
  <si>
    <t>984BH7</t>
  </si>
  <si>
    <t>NCYD22</t>
  </si>
  <si>
    <t>E589MN</t>
  </si>
  <si>
    <t>F6GVFW</t>
  </si>
  <si>
    <t>PPVW8C</t>
  </si>
  <si>
    <t>5M4TAQ</t>
  </si>
  <si>
    <t>Q8RC7S</t>
  </si>
  <si>
    <t>NN8X3S</t>
  </si>
  <si>
    <t>8WFME5</t>
  </si>
  <si>
    <t>YD32Y5</t>
  </si>
  <si>
    <t>A6CTA8</t>
  </si>
  <si>
    <t>CSXZ56</t>
  </si>
  <si>
    <t>GTTHCH</t>
  </si>
  <si>
    <t>H3TUJW</t>
  </si>
  <si>
    <t>B4D938</t>
  </si>
  <si>
    <t>RR57XD</t>
  </si>
  <si>
    <t>X7KJ3B</t>
  </si>
  <si>
    <t>7TRQCG</t>
  </si>
  <si>
    <t>6XRT28</t>
  </si>
  <si>
    <t>6U3F4F</t>
  </si>
  <si>
    <t>DAX2EY</t>
  </si>
  <si>
    <t>RMDFXM</t>
  </si>
  <si>
    <t>E3TSBT</t>
  </si>
  <si>
    <t>L2532305312</t>
  </si>
  <si>
    <t>R578F5</t>
  </si>
  <si>
    <t>AVQB6S</t>
  </si>
  <si>
    <t>XSQ5XL</t>
  </si>
  <si>
    <t>FFG45C</t>
  </si>
  <si>
    <t>GSBSU6</t>
  </si>
  <si>
    <t>D8K59H</t>
  </si>
  <si>
    <t>4R7H6A</t>
  </si>
  <si>
    <t>C66SDY</t>
  </si>
  <si>
    <t>4VMUBH</t>
  </si>
  <si>
    <t>75RVP3</t>
  </si>
  <si>
    <t>HJ85DY</t>
  </si>
  <si>
    <t>U6XFWM</t>
  </si>
  <si>
    <t>EDJRYN</t>
  </si>
  <si>
    <t>ZV39QV</t>
  </si>
  <si>
    <t>6637K7</t>
  </si>
  <si>
    <t>NQCTZR</t>
  </si>
  <si>
    <t>JEVWQ5</t>
  </si>
  <si>
    <t>KHXB7U</t>
  </si>
  <si>
    <t>29DJ2V</t>
  </si>
  <si>
    <t>GDRGT8</t>
  </si>
  <si>
    <t>BRIGHTON</t>
  </si>
  <si>
    <t>OTIENO</t>
  </si>
  <si>
    <t>AUMA</t>
  </si>
  <si>
    <t>UPI</t>
  </si>
  <si>
    <t xml:space="preserve"> OTIENO</t>
  </si>
  <si>
    <t>Male</t>
  </si>
  <si>
    <t>Female</t>
  </si>
  <si>
    <t>OUMA</t>
  </si>
  <si>
    <t>ACHIENG</t>
  </si>
  <si>
    <t>First Name</t>
  </si>
  <si>
    <t>Surname</t>
  </si>
  <si>
    <t>CYNTHIA</t>
  </si>
  <si>
    <t xml:space="preserve"> MARY</t>
  </si>
  <si>
    <t xml:space="preserve"> ATIENO</t>
  </si>
  <si>
    <t>AKELLO</t>
  </si>
  <si>
    <t>BENICE</t>
  </si>
  <si>
    <t>AMOLO</t>
  </si>
  <si>
    <t>SHAVRIL</t>
  </si>
  <si>
    <t xml:space="preserve"> LOYCE</t>
  </si>
  <si>
    <t>ATIENO</t>
  </si>
  <si>
    <t>LILIAN</t>
  </si>
  <si>
    <t xml:space="preserve"> ODENYO</t>
  </si>
  <si>
    <t>AYUKO</t>
  </si>
  <si>
    <t>VICTOR</t>
  </si>
  <si>
    <t>BEGAYE</t>
  </si>
  <si>
    <t>TIFANNY</t>
  </si>
  <si>
    <t xml:space="preserve"> ACHIENG</t>
  </si>
  <si>
    <t>JACOB</t>
  </si>
  <si>
    <t>KETHY</t>
  </si>
  <si>
    <t xml:space="preserve"> MARGY</t>
  </si>
  <si>
    <t>RUTH</t>
  </si>
  <si>
    <t xml:space="preserve"> SONIA</t>
  </si>
  <si>
    <t>KIBORA</t>
  </si>
  <si>
    <t>VIVIAN</t>
  </si>
  <si>
    <t xml:space="preserve"> KADENYI</t>
  </si>
  <si>
    <t>NYOSRO</t>
  </si>
  <si>
    <t>CATHERINE</t>
  </si>
  <si>
    <t>OBARA</t>
  </si>
  <si>
    <t>FIDEL</t>
  </si>
  <si>
    <t xml:space="preserve"> OMONDI</t>
  </si>
  <si>
    <t>ROBERT</t>
  </si>
  <si>
    <t xml:space="preserve"> OCHIENG</t>
  </si>
  <si>
    <t>OBUNDE</t>
  </si>
  <si>
    <t>JULIUS</t>
  </si>
  <si>
    <t>OCHIENG</t>
  </si>
  <si>
    <t>CALVINCE</t>
  </si>
  <si>
    <t xml:space="preserve"> OUMA</t>
  </si>
  <si>
    <t>DORTY</t>
  </si>
  <si>
    <t xml:space="preserve"> ADHIAMBO</t>
  </si>
  <si>
    <t>ODAGA</t>
  </si>
  <si>
    <t>MERCY</t>
  </si>
  <si>
    <t xml:space="preserve"> MYRA, ACHIENG</t>
  </si>
  <si>
    <t>ODHIAMBO</t>
  </si>
  <si>
    <t>ANTON</t>
  </si>
  <si>
    <t xml:space="preserve"> ODIWUOR</t>
  </si>
  <si>
    <t>ELVIS</t>
  </si>
  <si>
    <t xml:space="preserve"> ASHAVIN</t>
  </si>
  <si>
    <t>ROLEX</t>
  </si>
  <si>
    <t>WESLEY</t>
  </si>
  <si>
    <t xml:space="preserve"> CHARLES</t>
  </si>
  <si>
    <t>ODIWUOR</t>
  </si>
  <si>
    <t>JOY</t>
  </si>
  <si>
    <t xml:space="preserve"> BLESSING</t>
  </si>
  <si>
    <t>ODUOL</t>
  </si>
  <si>
    <t>OGOT</t>
  </si>
  <si>
    <t xml:space="preserve"> AKINYI</t>
  </si>
  <si>
    <t>OGUTU</t>
  </si>
  <si>
    <t>VINCENT</t>
  </si>
  <si>
    <t xml:space="preserve"> ODUOR</t>
  </si>
  <si>
    <t>OJWANG'</t>
  </si>
  <si>
    <t>JENIPHER</t>
  </si>
  <si>
    <t xml:space="preserve"> AUMA</t>
  </si>
  <si>
    <t>OKOTH</t>
  </si>
  <si>
    <t xml:space="preserve"> CHURCHIL</t>
  </si>
  <si>
    <t>OLEL</t>
  </si>
  <si>
    <t>FLORENCE</t>
  </si>
  <si>
    <t>OLOO</t>
  </si>
  <si>
    <t>PETER</t>
  </si>
  <si>
    <t>OMIYO</t>
  </si>
  <si>
    <t>EUGINE</t>
  </si>
  <si>
    <t xml:space="preserve"> GUMBA</t>
  </si>
  <si>
    <t>OMONDI</t>
  </si>
  <si>
    <t>ROSE</t>
  </si>
  <si>
    <t xml:space="preserve"> STACY</t>
  </si>
  <si>
    <t>ONDORO</t>
  </si>
  <si>
    <t>SAMUEL</t>
  </si>
  <si>
    <t>ONYANGO</t>
  </si>
  <si>
    <t>BRIAN</t>
  </si>
  <si>
    <t>EUNICE</t>
  </si>
  <si>
    <t xml:space="preserve"> AKOTH</t>
  </si>
  <si>
    <t>ONYUKA</t>
  </si>
  <si>
    <t>WASHINGTONE</t>
  </si>
  <si>
    <t xml:space="preserve"> DALMAS, OWINO</t>
  </si>
  <si>
    <t>ALFAYO</t>
  </si>
  <si>
    <t xml:space="preserve"> MAKOHA</t>
  </si>
  <si>
    <t>ALLAN</t>
  </si>
  <si>
    <t>ELIZABETH</t>
  </si>
  <si>
    <t>FELIX</t>
  </si>
  <si>
    <t>IMMACULATE</t>
  </si>
  <si>
    <t>LYNN</t>
  </si>
  <si>
    <t>REAGAN</t>
  </si>
  <si>
    <t xml:space="preserve"> ODHIAMBO</t>
  </si>
  <si>
    <t>STEPHEN</t>
  </si>
  <si>
    <t xml:space="preserve"> RAY, OMONDI</t>
  </si>
  <si>
    <t xml:space="preserve"> ANYANGO</t>
  </si>
  <si>
    <t>GRACE</t>
  </si>
  <si>
    <t xml:space="preserve"> SHALLET</t>
  </si>
  <si>
    <t>OUME</t>
  </si>
  <si>
    <t>CHRISTIAN</t>
  </si>
  <si>
    <t>OWINO</t>
  </si>
  <si>
    <t>SHANTEL</t>
  </si>
  <si>
    <t xml:space="preserve"> ANN</t>
  </si>
  <si>
    <t>VENESA</t>
  </si>
  <si>
    <t>SMITH</t>
  </si>
  <si>
    <t>PREXIDIES</t>
  </si>
  <si>
    <t xml:space="preserve"> DONRIDEL</t>
  </si>
  <si>
    <t>WADE</t>
  </si>
  <si>
    <t xml:space="preserve"> APIYO</t>
  </si>
  <si>
    <t>Assesment No</t>
  </si>
  <si>
    <t>ALENG</t>
  </si>
  <si>
    <t>PHABIAN</t>
  </si>
  <si>
    <t>ANYANGO</t>
  </si>
  <si>
    <t>MERYLINE</t>
  </si>
  <si>
    <t>AWINO</t>
  </si>
  <si>
    <t/>
  </si>
  <si>
    <t>OMOLLO</t>
  </si>
  <si>
    <t>GEM</t>
  </si>
  <si>
    <t>EZRA</t>
  </si>
  <si>
    <t>OBAJE</t>
  </si>
  <si>
    <t xml:space="preserve"> OCHOLA</t>
  </si>
  <si>
    <t>BRONIAH</t>
  </si>
  <si>
    <t xml:space="preserve"> JOY, AKINYI</t>
  </si>
  <si>
    <t>QURINE</t>
  </si>
  <si>
    <t>OGINGA</t>
  </si>
  <si>
    <t>JOHN</t>
  </si>
  <si>
    <t>ALICE</t>
  </si>
  <si>
    <t>OMBOK</t>
  </si>
  <si>
    <t>SHARON</t>
  </si>
  <si>
    <t>ELISHA</t>
  </si>
  <si>
    <t>EMMANUEL</t>
  </si>
  <si>
    <t>BEATRICE</t>
  </si>
  <si>
    <t>RAPHAEL</t>
  </si>
  <si>
    <t xml:space="preserve"> OWINO</t>
  </si>
  <si>
    <t xml:space="preserve"> AMONDI</t>
  </si>
  <si>
    <t>OWUOR</t>
  </si>
  <si>
    <t>ADHURA</t>
  </si>
  <si>
    <t>MITCHELLE</t>
  </si>
  <si>
    <t>AENDA</t>
  </si>
  <si>
    <t>PRECIOUS</t>
  </si>
  <si>
    <t xml:space="preserve"> CAROLYNE</t>
  </si>
  <si>
    <t>AKATCH</t>
  </si>
  <si>
    <t xml:space="preserve">AKINYI </t>
  </si>
  <si>
    <t>BRIGHTNY</t>
  </si>
  <si>
    <t xml:space="preserve"> CONSOLATE</t>
  </si>
  <si>
    <t>ALUSO</t>
  </si>
  <si>
    <t>MITCHEL</t>
  </si>
  <si>
    <t xml:space="preserve"> ACHIENG'</t>
  </si>
  <si>
    <t>ARINDO</t>
  </si>
  <si>
    <t>MICHAEL</t>
  </si>
  <si>
    <t>PEREZ</t>
  </si>
  <si>
    <t xml:space="preserve"> AKACH</t>
  </si>
  <si>
    <t>JUKA</t>
  </si>
  <si>
    <t>BARACK</t>
  </si>
  <si>
    <t xml:space="preserve"> OBAMA</t>
  </si>
  <si>
    <t>MITCHELE</t>
  </si>
  <si>
    <t>JUNIOR</t>
  </si>
  <si>
    <t>HILLARY</t>
  </si>
  <si>
    <t>LOYCE</t>
  </si>
  <si>
    <t xml:space="preserve"> KAGEHA</t>
  </si>
  <si>
    <t>NYADENGE</t>
  </si>
  <si>
    <t>EVERLYNE</t>
  </si>
  <si>
    <t>WENDY</t>
  </si>
  <si>
    <t>AUSTINE</t>
  </si>
  <si>
    <t>EVANS</t>
  </si>
  <si>
    <t>ODENYO</t>
  </si>
  <si>
    <t>ADDAH</t>
  </si>
  <si>
    <t>SUSAN</t>
  </si>
  <si>
    <t xml:space="preserve"> AWUOR</t>
  </si>
  <si>
    <t>WHITNEY</t>
  </si>
  <si>
    <t>ODUOR</t>
  </si>
  <si>
    <t>LINET</t>
  </si>
  <si>
    <t>SHANIZ</t>
  </si>
  <si>
    <t>THOMAS</t>
  </si>
  <si>
    <t>OGUNDE</t>
  </si>
  <si>
    <t>ASHLOCOL</t>
  </si>
  <si>
    <t>OKETCH</t>
  </si>
  <si>
    <t>BENTA</t>
  </si>
  <si>
    <t>OLILAH</t>
  </si>
  <si>
    <t>MILLICENT</t>
  </si>
  <si>
    <t xml:space="preserve"> ANASTASIA</t>
  </si>
  <si>
    <t>OLUOCH</t>
  </si>
  <si>
    <t>JANET</t>
  </si>
  <si>
    <t>CLINTON</t>
  </si>
  <si>
    <t>EMMACULATE</t>
  </si>
  <si>
    <t>GLADYS</t>
  </si>
  <si>
    <t>SAMWEL</t>
  </si>
  <si>
    <t xml:space="preserve"> ONYANGO</t>
  </si>
  <si>
    <t>TOVEN</t>
  </si>
  <si>
    <t xml:space="preserve"> ARIKA</t>
  </si>
  <si>
    <t>YVONNE</t>
  </si>
  <si>
    <t>CAROLINE</t>
  </si>
  <si>
    <t>DERICK</t>
  </si>
  <si>
    <t xml:space="preserve"> MATATA</t>
  </si>
  <si>
    <t>ELON</t>
  </si>
  <si>
    <t xml:space="preserve"> LINCON</t>
  </si>
  <si>
    <t>ERNEST</t>
  </si>
  <si>
    <t xml:space="preserve"> CALEB</t>
  </si>
  <si>
    <t>SAMSON</t>
  </si>
  <si>
    <t xml:space="preserve"> DAVID</t>
  </si>
  <si>
    <t>OOKO</t>
  </si>
  <si>
    <t>MESHACK</t>
  </si>
  <si>
    <t>OPONDO</t>
  </si>
  <si>
    <t>MACRINE</t>
  </si>
  <si>
    <t>PAUL</t>
  </si>
  <si>
    <t>ROSEMARY</t>
  </si>
  <si>
    <t xml:space="preserve"> AOKO</t>
  </si>
  <si>
    <t>MARIA CAROL</t>
  </si>
  <si>
    <t>TEDDY</t>
  </si>
  <si>
    <t xml:space="preserve"> CELLILOH</t>
  </si>
  <si>
    <t>JERALD</t>
  </si>
  <si>
    <t xml:space="preserve"> OWAGA</t>
  </si>
  <si>
    <t>OYOMBA</t>
  </si>
  <si>
    <t>MARY</t>
  </si>
  <si>
    <t>MARTINE</t>
  </si>
  <si>
    <t xml:space="preserve"> CAROLINE</t>
  </si>
  <si>
    <t>AKACH</t>
  </si>
  <si>
    <t>EVERLINE</t>
  </si>
  <si>
    <t>GEORGE</t>
  </si>
  <si>
    <t>COLLINCE</t>
  </si>
  <si>
    <t>LWAYO</t>
  </si>
  <si>
    <t>IAN</t>
  </si>
  <si>
    <t>MAYAMBA</t>
  </si>
  <si>
    <t xml:space="preserve"> SYLUS, OUMA</t>
  </si>
  <si>
    <t>MEYO</t>
  </si>
  <si>
    <t>WILFRED</t>
  </si>
  <si>
    <t>MOIT</t>
  </si>
  <si>
    <t>ANDANI</t>
  </si>
  <si>
    <t>NJOROGE</t>
  </si>
  <si>
    <t xml:space="preserve"> HENRICK</t>
  </si>
  <si>
    <t>BRAVINE</t>
  </si>
  <si>
    <t>FIDEL CASTRO</t>
  </si>
  <si>
    <t xml:space="preserve"> JUNIOR</t>
  </si>
  <si>
    <t>WILBERFORCE</t>
  </si>
  <si>
    <t xml:space="preserve"> OKOTH</t>
  </si>
  <si>
    <t>VALLENCIA</t>
  </si>
  <si>
    <t>COLLINS</t>
  </si>
  <si>
    <t>OKANDA</t>
  </si>
  <si>
    <t xml:space="preserve"> SAMWEL</t>
  </si>
  <si>
    <t>OKUMU</t>
  </si>
  <si>
    <t>RYAN</t>
  </si>
  <si>
    <t>LETTY</t>
  </si>
  <si>
    <t xml:space="preserve">OMONDI </t>
  </si>
  <si>
    <t>LOUIS</t>
  </si>
  <si>
    <t>JOSHUA</t>
  </si>
  <si>
    <t xml:space="preserve"> WALTER</t>
  </si>
  <si>
    <t>VALLARY</t>
  </si>
  <si>
    <t>OPIYO</t>
  </si>
  <si>
    <t xml:space="preserve"> ANNAN</t>
  </si>
  <si>
    <t>OSEWE</t>
  </si>
  <si>
    <t>WINNIE</t>
  </si>
  <si>
    <t>FRAZIER</t>
  </si>
  <si>
    <t>SHALLET</t>
  </si>
  <si>
    <t>TOBIAS</t>
  </si>
  <si>
    <t>IGNATIUS</t>
  </si>
  <si>
    <t xml:space="preserve"> XAVIER</t>
  </si>
  <si>
    <t>RABUOGI</t>
  </si>
  <si>
    <t xml:space="preserve"> OJIGO</t>
  </si>
  <si>
    <t>WINDA</t>
  </si>
  <si>
    <t>ISAAC</t>
  </si>
  <si>
    <t>LOUIC</t>
  </si>
  <si>
    <t>ALENG'</t>
  </si>
  <si>
    <t>AWUOR</t>
  </si>
  <si>
    <t>AOKO</t>
  </si>
  <si>
    <t>GER</t>
  </si>
  <si>
    <t>JUMA</t>
  </si>
  <si>
    <t>MORI</t>
  </si>
  <si>
    <t>NANDI</t>
  </si>
  <si>
    <t>OBUONG</t>
  </si>
  <si>
    <t>AKINYI</t>
  </si>
  <si>
    <t>RAY</t>
  </si>
  <si>
    <t>PATIENCE</t>
  </si>
  <si>
    <t>ADHIAMBO</t>
  </si>
  <si>
    <t xml:space="preserve">BRIAN </t>
  </si>
  <si>
    <t>THUO</t>
  </si>
  <si>
    <t>OKWARO</t>
  </si>
  <si>
    <t>CARZOLAH</t>
  </si>
  <si>
    <t>LEI</t>
  </si>
  <si>
    <t>OMOGI</t>
  </si>
  <si>
    <t>ABISHA</t>
  </si>
  <si>
    <t>OPANY</t>
  </si>
  <si>
    <t>OTIENI</t>
  </si>
  <si>
    <t>STACY</t>
  </si>
  <si>
    <t>SARAH</t>
  </si>
  <si>
    <t>AMANDA</t>
  </si>
  <si>
    <t>OTIEO</t>
  </si>
  <si>
    <t>OWAGA</t>
  </si>
  <si>
    <t>OWENGA</t>
  </si>
  <si>
    <t>OYUGI</t>
  </si>
  <si>
    <t>ZABLON</t>
  </si>
  <si>
    <t>TITUS</t>
  </si>
  <si>
    <t>ANINDO</t>
  </si>
  <si>
    <t>GLEN</t>
  </si>
  <si>
    <t>BUORO</t>
  </si>
  <si>
    <t>ESMA</t>
  </si>
  <si>
    <t>LANGU</t>
  </si>
  <si>
    <t>TYRON</t>
  </si>
  <si>
    <t>FENNY</t>
  </si>
  <si>
    <t>APIYO</t>
  </si>
  <si>
    <t>ADONGO</t>
  </si>
  <si>
    <t>MBUYA</t>
  </si>
  <si>
    <t>MAGERO</t>
  </si>
  <si>
    <t>CALEB</t>
  </si>
  <si>
    <t>OCHUKA</t>
  </si>
  <si>
    <t>MARYANNE</t>
  </si>
  <si>
    <t>AKOTH</t>
  </si>
  <si>
    <t>DENIS</t>
  </si>
  <si>
    <t>HELLEN</t>
  </si>
  <si>
    <t>VALLERY,ATIENO</t>
  </si>
  <si>
    <t>ODONGO</t>
  </si>
  <si>
    <t>BENARD</t>
  </si>
  <si>
    <t>OKECH</t>
  </si>
  <si>
    <t>VENIA</t>
  </si>
  <si>
    <t>MELVINE</t>
  </si>
  <si>
    <t>CATHRINE</t>
  </si>
  <si>
    <t>HOLYFILLED</t>
  </si>
  <si>
    <t>ROMANUS</t>
  </si>
  <si>
    <t>RAILA</t>
  </si>
  <si>
    <t>FRANKLIN</t>
  </si>
  <si>
    <t>MARION</t>
  </si>
  <si>
    <t>ONDIASO</t>
  </si>
  <si>
    <t>FRANK</t>
  </si>
  <si>
    <t>LENOX</t>
  </si>
  <si>
    <t>JAMES</t>
  </si>
  <si>
    <t>NICKSON,ODUOR</t>
  </si>
  <si>
    <t>JOSEPH</t>
  </si>
  <si>
    <t>WASONGA</t>
  </si>
  <si>
    <t>MERIL</t>
  </si>
  <si>
    <t>PAULINE</t>
  </si>
  <si>
    <t>VICKLINE,LEAH</t>
  </si>
  <si>
    <t>SANDRA</t>
  </si>
  <si>
    <t>JOYLET,AKINYI</t>
  </si>
  <si>
    <t>CHARLES</t>
  </si>
  <si>
    <t>DICKENS</t>
  </si>
  <si>
    <t>MIKE</t>
  </si>
  <si>
    <t>WILLIAM</t>
  </si>
  <si>
    <t>JULIA</t>
  </si>
  <si>
    <t>SHEILA</t>
  </si>
  <si>
    <t>TRIZER</t>
  </si>
  <si>
    <t>ANGEL</t>
  </si>
  <si>
    <t>VENESSA</t>
  </si>
  <si>
    <t>NAOMI</t>
  </si>
  <si>
    <t>BRAVIN</t>
  </si>
  <si>
    <t>B000427195 </t>
  </si>
  <si>
    <t>B001350055 </t>
  </si>
  <si>
    <t>B000423609 </t>
  </si>
  <si>
    <t>B000425395 </t>
  </si>
  <si>
    <t>B000423656 </t>
  </si>
  <si>
    <t>B003432071 </t>
  </si>
  <si>
    <t>B000423775 </t>
  </si>
  <si>
    <t>B000423857 </t>
  </si>
  <si>
    <t>B000423874 </t>
  </si>
  <si>
    <t>B001392131 </t>
  </si>
  <si>
    <t>B000758245 </t>
  </si>
  <si>
    <t>B000423941 </t>
  </si>
  <si>
    <t>B000424016 </t>
  </si>
  <si>
    <t>B000425659 </t>
  </si>
  <si>
    <t>B000426797 </t>
  </si>
  <si>
    <t>B000200951 </t>
  </si>
  <si>
    <t>B000425500 </t>
  </si>
  <si>
    <t>B000424119 </t>
  </si>
  <si>
    <t>B000424161 </t>
  </si>
  <si>
    <t>B000424190 </t>
  </si>
  <si>
    <t>B000424294 </t>
  </si>
  <si>
    <t>B001415309 </t>
  </si>
  <si>
    <t>B001350065 </t>
  </si>
  <si>
    <t>B000424322 </t>
  </si>
  <si>
    <t>B000424363 </t>
  </si>
  <si>
    <t>B000426205 </t>
  </si>
  <si>
    <t>B003422248 </t>
  </si>
  <si>
    <t>B000426306 </t>
  </si>
  <si>
    <t>B000424651 </t>
  </si>
  <si>
    <t>B003135736 </t>
  </si>
  <si>
    <t>B000425791 </t>
  </si>
  <si>
    <t>B000424770 </t>
  </si>
  <si>
    <t>B000426619 </t>
  </si>
  <si>
    <t>B000424965 </t>
  </si>
  <si>
    <t>B000425073 </t>
  </si>
  <si>
    <t>B000425132 </t>
  </si>
  <si>
    <t>B000425200 </t>
  </si>
  <si>
    <t>B000425238 </t>
  </si>
  <si>
    <t>B000425316 </t>
  </si>
  <si>
    <t>B000426383 </t>
  </si>
  <si>
    <t>B001218700 </t>
  </si>
  <si>
    <t>B001362333 </t>
  </si>
  <si>
    <t>AGINA</t>
  </si>
  <si>
    <t>MARTHA</t>
  </si>
  <si>
    <t>LOVINE</t>
  </si>
  <si>
    <t>JASMIN</t>
  </si>
  <si>
    <t xml:space="preserve"> HEIZIL, ADHIAMBO</t>
  </si>
  <si>
    <t>PAMELLA</t>
  </si>
  <si>
    <t>MANGLA</t>
  </si>
  <si>
    <t>ZEDY</t>
  </si>
  <si>
    <t>NYAMUDHO</t>
  </si>
  <si>
    <t>CHRISTINE</t>
  </si>
  <si>
    <t xml:space="preserve"> AWINO</t>
  </si>
  <si>
    <t>CALVINS</t>
  </si>
  <si>
    <t>DUKE</t>
  </si>
  <si>
    <t>MERCELINE</t>
  </si>
  <si>
    <t>OJIWA</t>
  </si>
  <si>
    <t>JACKLINE</t>
  </si>
  <si>
    <t>MOURINE</t>
  </si>
  <si>
    <t>DOROTHY</t>
  </si>
  <si>
    <t>MAURICE</t>
  </si>
  <si>
    <t>VELMA</t>
  </si>
  <si>
    <t>ONDHORO</t>
  </si>
  <si>
    <t>VACONS</t>
  </si>
  <si>
    <t>ONDUSO</t>
  </si>
  <si>
    <t>BRITONE</t>
  </si>
  <si>
    <t>GORETY</t>
  </si>
  <si>
    <t>REGAN</t>
  </si>
  <si>
    <t>ROONEY</t>
  </si>
  <si>
    <t>ASHLEY</t>
  </si>
  <si>
    <t xml:space="preserve"> SHERIL</t>
  </si>
  <si>
    <t>DICKSON</t>
  </si>
  <si>
    <t xml:space="preserve"> OPIYO</t>
  </si>
  <si>
    <t>KYLIAN</t>
  </si>
  <si>
    <t xml:space="preserve"> MORGAN</t>
  </si>
  <si>
    <t>LYDIA</t>
  </si>
  <si>
    <t>SHALLY</t>
  </si>
  <si>
    <t>STANLEY</t>
  </si>
  <si>
    <t xml:space="preserve"> EMMACULATE, ATIENO</t>
  </si>
  <si>
    <t>WALTER</t>
  </si>
  <si>
    <t xml:space="preserve"> OKAKA</t>
  </si>
  <si>
    <t>CHRISTOPHER</t>
  </si>
  <si>
    <t>JOAN</t>
  </si>
  <si>
    <t xml:space="preserve"> WAIRIMU</t>
  </si>
  <si>
    <t>MALINE</t>
  </si>
  <si>
    <t>MICHALE</t>
  </si>
  <si>
    <t xml:space="preserve"> LUCY, ATIENO</t>
  </si>
  <si>
    <t>A000874444 </t>
  </si>
  <si>
    <t>A000184885 </t>
  </si>
  <si>
    <t>A001150876 </t>
  </si>
  <si>
    <t>A000415432 </t>
  </si>
  <si>
    <t>A001148937 </t>
  </si>
  <si>
    <t>A000708833 </t>
  </si>
  <si>
    <t>A000640331 </t>
  </si>
  <si>
    <t>A000932849 </t>
  </si>
  <si>
    <t>A000907222 </t>
  </si>
  <si>
    <t>A000679906 </t>
  </si>
  <si>
    <t>A002516718 </t>
  </si>
  <si>
    <t>A001194129 </t>
  </si>
  <si>
    <t>A000127458 </t>
  </si>
  <si>
    <t>A001180463 </t>
  </si>
  <si>
    <t>A001083408 </t>
  </si>
  <si>
    <t>A000289134 </t>
  </si>
  <si>
    <t>A000908378 </t>
  </si>
  <si>
    <t>A000217904 </t>
  </si>
  <si>
    <t>A000220157 </t>
  </si>
  <si>
    <t>A001050414 </t>
  </si>
  <si>
    <t>A001201908 </t>
  </si>
  <si>
    <t>A001106351 </t>
  </si>
  <si>
    <t>A000173074 </t>
  </si>
  <si>
    <t>A000107684 </t>
  </si>
  <si>
    <t>A001267063 </t>
  </si>
  <si>
    <t>A000830732 </t>
  </si>
  <si>
    <t>A002240182 </t>
  </si>
  <si>
    <t>A000011219 </t>
  </si>
  <si>
    <t>A000983109 </t>
  </si>
  <si>
    <t>A001011615 </t>
  </si>
  <si>
    <t>A001318805 </t>
  </si>
  <si>
    <t>A001318820 </t>
  </si>
  <si>
    <t>A001318801 </t>
  </si>
  <si>
    <t>A002517020 </t>
  </si>
  <si>
    <t>A000171552 </t>
  </si>
  <si>
    <t>A000618275 </t>
  </si>
  <si>
    <t>A000537652 </t>
  </si>
  <si>
    <t>A000164111 </t>
  </si>
  <si>
    <t>A000592043 </t>
  </si>
  <si>
    <t>A000520299 </t>
  </si>
  <si>
    <t>A001263731 </t>
  </si>
  <si>
    <t>A000455186 </t>
  </si>
  <si>
    <t>A000513110 </t>
  </si>
  <si>
    <t>A000964476 </t>
  </si>
  <si>
    <t>A000576920 </t>
  </si>
  <si>
    <t>A000756606 </t>
  </si>
  <si>
    <t>A001190664 </t>
  </si>
  <si>
    <t>A001006401 </t>
  </si>
  <si>
    <t>A000719376 </t>
  </si>
  <si>
    <t>A000407285 </t>
  </si>
  <si>
    <t>A000784774 </t>
  </si>
  <si>
    <t>A001240380 </t>
  </si>
  <si>
    <t>A000401344 </t>
  </si>
  <si>
    <t>A000261919 </t>
  </si>
  <si>
    <t>A001318793 </t>
  </si>
  <si>
    <t>A000161996 </t>
  </si>
  <si>
    <t>A001229458 </t>
  </si>
  <si>
    <t>A001031687 </t>
  </si>
  <si>
    <t>A000043571 </t>
  </si>
  <si>
    <t>A000811611 </t>
  </si>
  <si>
    <t>ABALA</t>
  </si>
  <si>
    <t>JOYJESCA</t>
  </si>
  <si>
    <t>DORINE</t>
  </si>
  <si>
    <t xml:space="preserve"> OTUMO</t>
  </si>
  <si>
    <t>IMBO</t>
  </si>
  <si>
    <t>TREEZER</t>
  </si>
  <si>
    <t>ANN</t>
  </si>
  <si>
    <t>LENSA</t>
  </si>
  <si>
    <t>ODEYO</t>
  </si>
  <si>
    <t>LOVIN</t>
  </si>
  <si>
    <t>ANNA</t>
  </si>
  <si>
    <t>BABRA</t>
  </si>
  <si>
    <t xml:space="preserve"> GRACE</t>
  </si>
  <si>
    <t>OLIVIAH</t>
  </si>
  <si>
    <t>PATRICIA</t>
  </si>
  <si>
    <t>ODIE</t>
  </si>
  <si>
    <t>SHEM</t>
  </si>
  <si>
    <t xml:space="preserve"> MICHAEL</t>
  </si>
  <si>
    <t>SYNTHIA</t>
  </si>
  <si>
    <t>MOWLEN</t>
  </si>
  <si>
    <t xml:space="preserve"> ANN, AMONDI</t>
  </si>
  <si>
    <t>SPENCER</t>
  </si>
  <si>
    <t>OINDO</t>
  </si>
  <si>
    <t xml:space="preserve"> AGNES</t>
  </si>
  <si>
    <t>GRIPHINE</t>
  </si>
  <si>
    <t>LOICE</t>
  </si>
  <si>
    <t xml:space="preserve"> ELIZABETH</t>
  </si>
  <si>
    <t>ESBORN</t>
  </si>
  <si>
    <t>GRIFFIN</t>
  </si>
  <si>
    <t xml:space="preserve"> AGGREY</t>
  </si>
  <si>
    <t>HELEN</t>
  </si>
  <si>
    <t>BRENDA</t>
  </si>
  <si>
    <t>PHENIS</t>
  </si>
  <si>
    <t>MILTON</t>
  </si>
  <si>
    <t>MAKRIN</t>
  </si>
  <si>
    <t>BIANCA</t>
  </si>
  <si>
    <t xml:space="preserve"> ANTONE</t>
  </si>
  <si>
    <t>DANIEL</t>
  </si>
  <si>
    <t>IVENT</t>
  </si>
  <si>
    <t>JEFF</t>
  </si>
  <si>
    <t xml:space="preserve"> OMBENYI</t>
  </si>
  <si>
    <t>KEVIN</t>
  </si>
  <si>
    <t xml:space="preserve"> JUKA</t>
  </si>
  <si>
    <t>STEWART</t>
  </si>
  <si>
    <t xml:space="preserve"> HILLARY</t>
  </si>
  <si>
    <t>OULU</t>
  </si>
  <si>
    <t>IDA</t>
  </si>
  <si>
    <t>HARUN</t>
  </si>
  <si>
    <t xml:space="preserve"> STERNLY</t>
  </si>
  <si>
    <t>JOEL</t>
  </si>
  <si>
    <t>RAWER</t>
  </si>
  <si>
    <t>LINDA</t>
  </si>
  <si>
    <t xml:space="preserve"> KELLY, OTIENO</t>
  </si>
  <si>
    <t>VELLY</t>
  </si>
  <si>
    <t>LORINE</t>
  </si>
  <si>
    <r>
      <rPr>
        <b/>
        <i/>
        <sz val="14"/>
        <rFont val="Calibri"/>
        <family val="2"/>
      </rPr>
      <t xml:space="preserve">        Ministry of Education
            State Department for Basic Education
                      School Data Verification Tool.
</t>
    </r>
    <r>
      <rPr>
        <b/>
        <i/>
        <sz val="14"/>
        <color indexed="8"/>
        <rFont val="Calibri"/>
        <family val="2"/>
      </rPr>
      <t>(</t>
    </r>
    <r>
      <rPr>
        <b/>
        <i/>
        <sz val="14"/>
        <color indexed="62"/>
        <rFont val="Calibri"/>
        <family val="2"/>
      </rPr>
      <t>Please input the following records of all the learners in School).</t>
    </r>
  </si>
  <si>
    <t>S/NO</t>
  </si>
  <si>
    <t>Other Names</t>
  </si>
  <si>
    <t>Birth Entry Number</t>
  </si>
  <si>
    <t>Dissability type (If any)</t>
  </si>
  <si>
    <t>MOSES</t>
  </si>
  <si>
    <t>CASTRO</t>
  </si>
  <si>
    <t>MOVINE</t>
  </si>
  <si>
    <t>TREVOR</t>
  </si>
  <si>
    <t>KUNGU</t>
  </si>
  <si>
    <t>SUNSTER</t>
  </si>
  <si>
    <t>MELVIN</t>
  </si>
  <si>
    <t>BENJAMIN</t>
  </si>
  <si>
    <t>ODHORO</t>
  </si>
  <si>
    <t>DOMNIC</t>
  </si>
  <si>
    <t xml:space="preserve">JESSE </t>
  </si>
  <si>
    <t>ORINDA</t>
  </si>
  <si>
    <t>H4EHUM</t>
  </si>
  <si>
    <t>LIZE</t>
  </si>
  <si>
    <t>RDUVSX</t>
  </si>
  <si>
    <t>QUINTER</t>
  </si>
  <si>
    <t>3PKTXZ</t>
  </si>
  <si>
    <t>FELISHIAVAIPA</t>
  </si>
  <si>
    <t>2384HG</t>
  </si>
  <si>
    <t>OCHIENG'</t>
  </si>
  <si>
    <t>549D7W</t>
  </si>
  <si>
    <t>ODANGA</t>
  </si>
  <si>
    <t>BYRON</t>
  </si>
  <si>
    <t>29WDSZ</t>
  </si>
  <si>
    <t>ODIENY</t>
  </si>
  <si>
    <t xml:space="preserve"> BELA, AWUOR</t>
  </si>
  <si>
    <t>USTGYY</t>
  </si>
  <si>
    <t>9KED7D</t>
  </si>
  <si>
    <t>OLWASI</t>
  </si>
  <si>
    <t>4GHCYG</t>
  </si>
  <si>
    <t xml:space="preserve">OTIENO </t>
  </si>
  <si>
    <t>WZTR7E</t>
  </si>
  <si>
    <t>ES4WFD</t>
  </si>
  <si>
    <t>ROSELINE</t>
  </si>
  <si>
    <t>Y77NER</t>
  </si>
  <si>
    <t>STEVEN</t>
  </si>
  <si>
    <t xml:space="preserve"> JOSHUA</t>
  </si>
  <si>
    <t>YZS3JM</t>
  </si>
  <si>
    <t>PRICENCAH</t>
  </si>
  <si>
    <t>83RE9Z</t>
  </si>
  <si>
    <t>WEKONDI</t>
  </si>
  <si>
    <t>ALICIAH</t>
  </si>
  <si>
    <t xml:space="preserve"> HADASSAH</t>
  </si>
  <si>
    <t>B001719932 </t>
  </si>
  <si>
    <t>B001720596 </t>
  </si>
  <si>
    <t>A002362886 </t>
  </si>
  <si>
    <t>B002304691 </t>
  </si>
  <si>
    <t>A002198816 </t>
  </si>
  <si>
    <t>A002494659 </t>
  </si>
  <si>
    <t>A002363011 </t>
  </si>
  <si>
    <t>B001514333 </t>
  </si>
  <si>
    <t>A002398382 </t>
  </si>
  <si>
    <t>B001720036 </t>
  </si>
  <si>
    <t>B001517988 </t>
  </si>
  <si>
    <t>A002494640 </t>
  </si>
  <si>
    <t>B001719871 </t>
  </si>
  <si>
    <t>B001720099 </t>
  </si>
  <si>
    <t>A002363573 </t>
  </si>
  <si>
    <t>B001720129 </t>
  </si>
  <si>
    <t>A002199129 </t>
  </si>
  <si>
    <t>A002105962 </t>
  </si>
  <si>
    <t>A002198634 </t>
  </si>
  <si>
    <t>A002363164 </t>
  </si>
  <si>
    <t>B001514473 </t>
  </si>
  <si>
    <t>B001720333 </t>
  </si>
  <si>
    <t>B001720386 </t>
  </si>
  <si>
    <t>A002262729 </t>
  </si>
  <si>
    <t>A002363358 </t>
  </si>
  <si>
    <t>A002363382 </t>
  </si>
  <si>
    <t>B002306377 </t>
  </si>
  <si>
    <t>B001519059 </t>
  </si>
  <si>
    <t>A002198332 </t>
  </si>
  <si>
    <t>B001515476 </t>
  </si>
  <si>
    <t>B001719850 </t>
  </si>
  <si>
    <t>A002363480 </t>
  </si>
  <si>
    <t>B001720707 </t>
  </si>
  <si>
    <t>B003441595 </t>
  </si>
  <si>
    <t>A002199293 </t>
  </si>
  <si>
    <t>B001720747 </t>
  </si>
  <si>
    <t>A002363549 </t>
  </si>
  <si>
    <t>B003441588 </t>
  </si>
  <si>
    <t>A002363588 </t>
  </si>
  <si>
    <t>B001517383 </t>
  </si>
  <si>
    <t>B001720872 </t>
  </si>
  <si>
    <t>A002363639 </t>
  </si>
  <si>
    <t>B003439011 </t>
  </si>
  <si>
    <t>B001719888 </t>
  </si>
  <si>
    <t>B001874383 </t>
  </si>
  <si>
    <t>A000932849</t>
  </si>
  <si>
    <t>B002252009</t>
  </si>
  <si>
    <t>B002251668</t>
  </si>
  <si>
    <t>B002252091</t>
  </si>
  <si>
    <t>EVANCE</t>
  </si>
  <si>
    <t>A002781068</t>
  </si>
  <si>
    <t>GEOFFREY</t>
  </si>
  <si>
    <t>B003028882</t>
  </si>
  <si>
    <t>ANGIR</t>
  </si>
  <si>
    <t>BRITNEY</t>
  </si>
  <si>
    <t>JOSPHAT</t>
  </si>
  <si>
    <t>B003460339</t>
  </si>
  <si>
    <t>WILLICE</t>
  </si>
  <si>
    <t>B002251882</t>
  </si>
  <si>
    <t>MAKLINE</t>
  </si>
  <si>
    <t>B002593389</t>
  </si>
  <si>
    <t>DESMOND</t>
  </si>
  <si>
    <t>PHILIP</t>
  </si>
  <si>
    <t>B002200538</t>
  </si>
  <si>
    <t>LENCER</t>
  </si>
  <si>
    <t>CARREN, ADHIAMBO</t>
  </si>
  <si>
    <t>B002251759</t>
  </si>
  <si>
    <t>B002251636</t>
  </si>
  <si>
    <t>B002251339</t>
  </si>
  <si>
    <t>EMELDA</t>
  </si>
  <si>
    <t>B002200443</t>
  </si>
  <si>
    <t>VARON</t>
  </si>
  <si>
    <t>B002252051</t>
  </si>
  <si>
    <t>B002251554</t>
  </si>
  <si>
    <t>B002200376</t>
  </si>
  <si>
    <t>JANICE</t>
  </si>
  <si>
    <t>A002780800</t>
  </si>
  <si>
    <t>A002823329</t>
  </si>
  <si>
    <t>MOLLEN</t>
  </si>
  <si>
    <t>A002764904</t>
  </si>
  <si>
    <t>SANTIAGO</t>
  </si>
  <si>
    <t>B001719965</t>
  </si>
  <si>
    <t>FABIAN</t>
  </si>
  <si>
    <t>MONICA</t>
  </si>
  <si>
    <t>CONSLATE, AKINYI</t>
  </si>
  <si>
    <t>A002764895</t>
  </si>
  <si>
    <t>PHOEBE</t>
  </si>
  <si>
    <t>B006886985</t>
  </si>
  <si>
    <t>STERNLY</t>
  </si>
  <si>
    <t>B002253044</t>
  </si>
  <si>
    <t>JEDIDA</t>
  </si>
  <si>
    <t>B002867508</t>
  </si>
  <si>
    <t>LUCY</t>
  </si>
  <si>
    <t>A002781502</t>
  </si>
  <si>
    <t>BECKY</t>
  </si>
  <si>
    <t>A002764900</t>
  </si>
  <si>
    <t>A002780816</t>
  </si>
  <si>
    <t>A002781599</t>
  </si>
  <si>
    <t>A002780678</t>
  </si>
  <si>
    <t>ESTHER</t>
  </si>
  <si>
    <t>A002781053</t>
  </si>
  <si>
    <t>FREDINANT</t>
  </si>
  <si>
    <t>GIDEON</t>
  </si>
  <si>
    <t>A002764912</t>
  </si>
  <si>
    <t>MERECIA</t>
  </si>
  <si>
    <t>B002200547</t>
  </si>
  <si>
    <t>FABRIGAS</t>
  </si>
  <si>
    <t>MARYANN</t>
  </si>
  <si>
    <t>A002764926</t>
  </si>
  <si>
    <t>PATRICK</t>
  </si>
  <si>
    <t>A002780697</t>
  </si>
  <si>
    <t>B002200515</t>
  </si>
  <si>
    <t>TIMOTHY</t>
  </si>
  <si>
    <t>B006678977</t>
  </si>
  <si>
    <t>B006679146</t>
  </si>
  <si>
    <t>B006679156</t>
  </si>
  <si>
    <t>B006811053</t>
  </si>
  <si>
    <t>B006886587</t>
  </si>
  <si>
    <t>B006962888</t>
  </si>
  <si>
    <t>B006962962</t>
  </si>
  <si>
    <t>B006962998</t>
  </si>
  <si>
    <t>B006963040</t>
  </si>
  <si>
    <t>B006963176</t>
  </si>
  <si>
    <t>B006963212</t>
  </si>
  <si>
    <t>B006963242</t>
  </si>
  <si>
    <t>B006963279</t>
  </si>
  <si>
    <t>B006963302</t>
  </si>
  <si>
    <t>B006963329</t>
  </si>
  <si>
    <t>B006963372</t>
  </si>
  <si>
    <t>B006963409</t>
  </si>
  <si>
    <t>B006963430</t>
  </si>
  <si>
    <t>B006963471</t>
  </si>
  <si>
    <t>B006963503</t>
  </si>
  <si>
    <t>B008083078</t>
  </si>
  <si>
    <t>B008216769</t>
  </si>
  <si>
    <t>B008216778</t>
  </si>
  <si>
    <t>B005558650</t>
  </si>
  <si>
    <t>GASHOMI</t>
  </si>
  <si>
    <t xml:space="preserve">GAIL </t>
  </si>
  <si>
    <t>B006437471</t>
  </si>
  <si>
    <t>B006442086</t>
  </si>
  <si>
    <t>B006442119</t>
  </si>
  <si>
    <t>B006442123</t>
  </si>
  <si>
    <t>B006442124</t>
  </si>
  <si>
    <t>B006442129</t>
  </si>
  <si>
    <t>B006442135</t>
  </si>
  <si>
    <t>B006442138</t>
  </si>
  <si>
    <t>B006442140</t>
  </si>
  <si>
    <t>B006442144</t>
  </si>
  <si>
    <t>B006442146</t>
  </si>
  <si>
    <t>B006442154</t>
  </si>
  <si>
    <t>B006442158</t>
  </si>
  <si>
    <t>B006442160</t>
  </si>
  <si>
    <t>B006442164</t>
  </si>
  <si>
    <t>B006442168</t>
  </si>
  <si>
    <t>B006442171</t>
  </si>
  <si>
    <t>B006442180</t>
  </si>
  <si>
    <t>B006442183</t>
  </si>
  <si>
    <t>B006442188</t>
  </si>
  <si>
    <t>B006442202</t>
  </si>
  <si>
    <t>B006442208</t>
  </si>
  <si>
    <t>B006442211</t>
  </si>
  <si>
    <t>B006442216</t>
  </si>
  <si>
    <t>B006442221</t>
  </si>
  <si>
    <t>B006442226</t>
  </si>
  <si>
    <t>B006442243</t>
  </si>
  <si>
    <t>B006442254</t>
  </si>
  <si>
    <t>B006456612</t>
  </si>
  <si>
    <t>B006442203</t>
  </si>
  <si>
    <t>MATATA</t>
  </si>
  <si>
    <t xml:space="preserve">ONYANGO </t>
  </si>
  <si>
    <t xml:space="preserve">OLWASI </t>
  </si>
  <si>
    <t>SAMATHA</t>
  </si>
  <si>
    <t xml:space="preserve">BUORO </t>
  </si>
  <si>
    <t>B003472204</t>
  </si>
  <si>
    <t>B003999865</t>
  </si>
  <si>
    <t>B003818456</t>
  </si>
  <si>
    <t>B004432109</t>
  </si>
  <si>
    <t>B004597963</t>
  </si>
  <si>
    <t>B006310799</t>
  </si>
  <si>
    <t>BAHATI</t>
  </si>
  <si>
    <t>B004637291</t>
  </si>
  <si>
    <t>B004636934</t>
  </si>
  <si>
    <t>B004637051</t>
  </si>
  <si>
    <t>AKATCH PEREZ ATIENO</t>
  </si>
  <si>
    <t>B004637199</t>
  </si>
  <si>
    <t>B006881644</t>
  </si>
  <si>
    <t>B004827683</t>
  </si>
  <si>
    <t>B004815058</t>
  </si>
  <si>
    <t>B004637422</t>
  </si>
  <si>
    <t>B004637421</t>
  </si>
  <si>
    <t>B004637418</t>
  </si>
  <si>
    <t>B004637417</t>
  </si>
  <si>
    <t>B004637415</t>
  </si>
  <si>
    <t>B004637396</t>
  </si>
  <si>
    <t>B004637391</t>
  </si>
  <si>
    <t>B004637384</t>
  </si>
  <si>
    <t>B004637381</t>
  </si>
  <si>
    <t>B004637378</t>
  </si>
  <si>
    <t>B004637377</t>
  </si>
  <si>
    <t>B004637375</t>
  </si>
  <si>
    <t>B004637369</t>
  </si>
  <si>
    <t>B004637358</t>
  </si>
  <si>
    <t>B004637347</t>
  </si>
  <si>
    <t>B004637343</t>
  </si>
  <si>
    <t>B004637319</t>
  </si>
  <si>
    <t>B004637306</t>
  </si>
  <si>
    <t>B004637299</t>
  </si>
  <si>
    <t>B004637281</t>
  </si>
  <si>
    <t>B004637276</t>
  </si>
  <si>
    <t>B004637270</t>
  </si>
  <si>
    <t>B004637262</t>
  </si>
  <si>
    <t>B004637254</t>
  </si>
  <si>
    <t>B004637242</t>
  </si>
  <si>
    <t>B004637229</t>
  </si>
  <si>
    <t>B004637209</t>
  </si>
  <si>
    <t>B004637190</t>
  </si>
  <si>
    <t>B004637180</t>
  </si>
  <si>
    <t>B004637173</t>
  </si>
  <si>
    <t>B004637145</t>
  </si>
  <si>
    <t>B004637132</t>
  </si>
  <si>
    <t>B004637038</t>
  </si>
  <si>
    <t>B004637021</t>
  </si>
  <si>
    <t>B004637014</t>
  </si>
  <si>
    <t>B004637006</t>
  </si>
  <si>
    <t>B004636957</t>
  </si>
  <si>
    <t>B004636915</t>
  </si>
  <si>
    <t>B004614332</t>
  </si>
  <si>
    <t>B004614310</t>
  </si>
  <si>
    <t>B004598754</t>
  </si>
  <si>
    <t>B004050591</t>
  </si>
  <si>
    <t>B003525568</t>
  </si>
  <si>
    <t>OMINO</t>
  </si>
  <si>
    <t>ONGOWO</t>
  </si>
  <si>
    <t>OURA</t>
  </si>
  <si>
    <t>RADUL</t>
  </si>
  <si>
    <t>BILL</t>
  </si>
  <si>
    <t>SHALET</t>
  </si>
  <si>
    <t>FESTUS</t>
  </si>
  <si>
    <t>HASSAN</t>
  </si>
  <si>
    <t>CAREN</t>
  </si>
  <si>
    <t>BILLY</t>
  </si>
  <si>
    <t>BARAZA</t>
  </si>
  <si>
    <t>LUCKY</t>
  </si>
  <si>
    <t>PURITY</t>
  </si>
  <si>
    <t>LETICIA</t>
  </si>
  <si>
    <t>DAVID</t>
  </si>
  <si>
    <t>FRANCIS</t>
  </si>
  <si>
    <t>STERNLEY</t>
  </si>
  <si>
    <t>BRANHAM</t>
  </si>
  <si>
    <t>ANTONE</t>
  </si>
  <si>
    <t>CALLEB</t>
  </si>
  <si>
    <t>SAM</t>
  </si>
  <si>
    <t>ABEDNEGO</t>
  </si>
  <si>
    <t>ADM/GRD1/2024/001</t>
  </si>
  <si>
    <t>ADM/GRD1/2024/002</t>
  </si>
  <si>
    <t>ADM/GRD1/2024/003</t>
  </si>
  <si>
    <t>ADM/GRD1/2024/004</t>
  </si>
  <si>
    <t>ADM/GRD1/2024/005</t>
  </si>
  <si>
    <t>ADM/GRD1/2024/006</t>
  </si>
  <si>
    <t>ADM/GRD1/2024/007</t>
  </si>
  <si>
    <t>ADM/GRD1/2024/008</t>
  </si>
  <si>
    <t>ADM/GRD1/2024/009</t>
  </si>
  <si>
    <t>ADM/GRD1/2024/010</t>
  </si>
  <si>
    <t>ADM/GRD1/2024/011</t>
  </si>
  <si>
    <t>ADM/GRD1/2024/012</t>
  </si>
  <si>
    <t>ADM/GRD1/2024/013</t>
  </si>
  <si>
    <t>ADM/GRD1/2024/014</t>
  </si>
  <si>
    <t>ADM/GRD1/2024/015</t>
  </si>
  <si>
    <t>ADM/GRD1/2024/016</t>
  </si>
  <si>
    <t>ADM/GRD1/2024/017</t>
  </si>
  <si>
    <t>ADM/GRD1/2024/018</t>
  </si>
  <si>
    <t>ADM/GRD1/2024/019</t>
  </si>
  <si>
    <t>ADM/GRD1/2024/020</t>
  </si>
  <si>
    <t>ADM/GRD1/2024/021</t>
  </si>
  <si>
    <t>ADM/GRD1/2024/022</t>
  </si>
  <si>
    <t>ADM/GRD1/2024/023</t>
  </si>
  <si>
    <t>ADM/GRD1/2024/024</t>
  </si>
  <si>
    <t>ADM/GRD1/2024/025</t>
  </si>
  <si>
    <t>ADM/GRD1/2024/026</t>
  </si>
  <si>
    <t>ADM/GRD1/2024/027</t>
  </si>
  <si>
    <t>ADM/GRD1/2024/028</t>
  </si>
  <si>
    <t>ADM/GRD1/2024/029</t>
  </si>
  <si>
    <t>ADM/GRD1/2024/030</t>
  </si>
  <si>
    <t>ADM/GRD1/2024/031</t>
  </si>
  <si>
    <t>ADM/GRD1/2024/032</t>
  </si>
  <si>
    <t>ADM/GRD1/2024/033</t>
  </si>
  <si>
    <t>ADM/GRD1/2024/034</t>
  </si>
  <si>
    <t>ADM/GRD1/2024/035</t>
  </si>
  <si>
    <t>ADM/GRD1/2024/036</t>
  </si>
  <si>
    <t>ADM/GRD1/2024/037</t>
  </si>
  <si>
    <t>ADM/GRD1/2024/038</t>
  </si>
  <si>
    <t>ADM/GRD1/2024/039</t>
  </si>
  <si>
    <t>ADM/GRD1/2024/040</t>
  </si>
  <si>
    <t>ADM/GRD1/2024/041</t>
  </si>
  <si>
    <t>ADM/GRD1/2024/042</t>
  </si>
  <si>
    <t>ADM/GRD1/2024/043</t>
  </si>
  <si>
    <t>ADM/GRD1/2024/044</t>
  </si>
  <si>
    <t>ADM/GRD1/2024/045</t>
  </si>
  <si>
    <t>ADM/GRD1/2024/046</t>
  </si>
  <si>
    <t>ADM/GRD1/2024/047</t>
  </si>
  <si>
    <t>ADM/GRD1/2024/048</t>
  </si>
  <si>
    <t>ADM/GRD1/2024/049</t>
  </si>
  <si>
    <t>ADM/GRD1/2024/050</t>
  </si>
  <si>
    <t>ADM/GRD1/2024/051</t>
  </si>
  <si>
    <t>Assessment No</t>
  </si>
  <si>
    <t xml:space="preserve"> Official Student Name</t>
  </si>
  <si>
    <t>Grade</t>
  </si>
  <si>
    <t>Grade 6</t>
  </si>
  <si>
    <t>AGINA COLLINS OTIENO</t>
  </si>
  <si>
    <t>AKATCH MARTHA ACHIENG</t>
  </si>
  <si>
    <t>Mathematics</t>
  </si>
  <si>
    <t xml:space="preserve">English </t>
  </si>
  <si>
    <t>Total</t>
  </si>
  <si>
    <t>Maths Indicator</t>
  </si>
  <si>
    <t>Eng Indicator</t>
  </si>
  <si>
    <t>B001720747</t>
  </si>
  <si>
    <t>OUMA CHARLES ODHIAMBO</t>
  </si>
  <si>
    <t>Below Expectation</t>
  </si>
  <si>
    <t>Approach Expectation</t>
  </si>
  <si>
    <t>B- (Minus)</t>
  </si>
  <si>
    <t>FAIR ENOUGH CHILD🥳🥳</t>
  </si>
  <si>
    <t>Meet  Expectation</t>
  </si>
  <si>
    <t>B001517383</t>
  </si>
  <si>
    <t>OUMA WILLIAM ODHIAMBO</t>
  </si>
  <si>
    <t>B001720788</t>
  </si>
  <si>
    <t>OUMA EVALINE AWINO</t>
  </si>
  <si>
    <t>A002198922</t>
  </si>
  <si>
    <t>ONYANGO EUNICE AKOTH</t>
  </si>
  <si>
    <t>B003439011</t>
  </si>
  <si>
    <t>OWINO TRIZAH ANGEL ACHIENG</t>
  </si>
  <si>
    <t>AVERAGE</t>
  </si>
  <si>
    <t>B001719932</t>
  </si>
  <si>
    <t>AKATCH TITUS OTIENO</t>
  </si>
  <si>
    <t>C+ (Plus)</t>
  </si>
  <si>
    <t>BELOW AVERAGE.IMPROVE IN AREAS OF WEAKNESS</t>
  </si>
  <si>
    <t>A002494659</t>
  </si>
  <si>
    <t>LANGU TYRON OTIENO</t>
  </si>
  <si>
    <t>C (Plain)</t>
  </si>
  <si>
    <t>A002362886</t>
  </si>
  <si>
    <t>OMONDI VICTOR OTIENO</t>
  </si>
  <si>
    <t>C- (Minus)</t>
  </si>
  <si>
    <t>B002304691</t>
  </si>
  <si>
    <t>BUORO EUGINE ESMA</t>
  </si>
  <si>
    <t>B001720073</t>
  </si>
  <si>
    <t>ODHIAMBO EDITH ACHIENG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</si>
</sst>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0.5"/>
      <color theme="1"/>
      <name val="Segoe UI"/>
      <family val="2"/>
    </font>
    <font>
      <b/>
      <i/>
      <sz val="14"/>
      <color indexed="8"/>
      <name val="Calibri"/>
      <family val="2"/>
    </font>
    <font>
      <b/>
      <i/>
      <sz val="14"/>
      <name val="Calibri"/>
      <family val="2"/>
    </font>
    <font>
      <b/>
      <i/>
      <sz val="14"/>
      <color indexed="62"/>
      <name val="Calibri"/>
      <family val="2"/>
    </font>
    <font>
      <b/>
      <i/>
      <sz val="14"/>
      <color theme="1"/>
      <name val="Aptos Narrow"/>
      <family val="2"/>
      <scheme val="minor"/>
    </font>
    <font>
      <sz val="11"/>
      <color rgb="FFFF0000"/>
      <name val="Times New Roman"/>
      <family val="1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3"/>
      <name val="Times New Roman"/>
      <family val="1"/>
    </font>
    <font>
      <sz val="11"/>
      <color theme="3"/>
      <name val="Aptos Narrow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E2EBEA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DDDDD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medium">
        <color rgb="FFDDDDDD"/>
      </bottom>
      <diagonal/>
    </border>
    <border>
      <left style="thin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quotePrefix="1" applyFont="1"/>
    <xf numFmtId="0" fontId="1" fillId="2" borderId="0" xfId="0" applyFont="1" applyFill="1" applyAlignment="1">
      <alignment horizontal="center"/>
    </xf>
    <xf numFmtId="0" fontId="9" fillId="0" borderId="0" xfId="0" applyFont="1"/>
    <xf numFmtId="0" fontId="10" fillId="0" borderId="3" xfId="0" applyFont="1" applyBorder="1" applyAlignment="1">
      <alignment wrapText="1"/>
    </xf>
    <xf numFmtId="0" fontId="10" fillId="0" borderId="3" xfId="0" applyFont="1" applyBorder="1" applyAlignment="1">
      <alignment vertical="center"/>
    </xf>
    <xf numFmtId="0" fontId="11" fillId="4" borderId="4" xfId="0" applyFont="1" applyFill="1" applyBorder="1" applyAlignment="1">
      <alignment vertical="top" wrapText="1"/>
    </xf>
    <xf numFmtId="0" fontId="11" fillId="4" borderId="2" xfId="0" applyFont="1" applyFill="1" applyBorder="1" applyAlignment="1">
      <alignment vertical="top" wrapText="1"/>
    </xf>
    <xf numFmtId="14" fontId="11" fillId="4" borderId="2" xfId="0" applyNumberFormat="1" applyFont="1" applyFill="1" applyBorder="1" applyAlignment="1">
      <alignment vertical="top" wrapText="1"/>
    </xf>
    <xf numFmtId="0" fontId="11" fillId="5" borderId="2" xfId="0" applyFont="1" applyFill="1" applyBorder="1" applyAlignment="1">
      <alignment vertical="top" wrapText="1"/>
    </xf>
    <xf numFmtId="0" fontId="0" fillId="4" borderId="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14" fontId="0" fillId="4" borderId="2" xfId="0" applyNumberFormat="1" applyFill="1" applyBorder="1" applyAlignment="1">
      <alignment horizontal="left" vertical="top" wrapText="1"/>
    </xf>
    <xf numFmtId="0" fontId="13" fillId="0" borderId="0" xfId="0" applyFont="1"/>
    <xf numFmtId="0" fontId="12" fillId="0" borderId="0" xfId="0" applyFont="1"/>
    <xf numFmtId="0" fontId="12" fillId="4" borderId="2" xfId="0" applyFont="1" applyFill="1" applyBorder="1" applyAlignment="1">
      <alignment vertical="top" wrapText="1"/>
    </xf>
    <xf numFmtId="14" fontId="12" fillId="0" borderId="0" xfId="0" applyNumberFormat="1" applyFont="1"/>
    <xf numFmtId="0" fontId="12" fillId="5" borderId="2" xfId="0" applyFont="1" applyFill="1" applyBorder="1" applyAlignment="1">
      <alignment vertical="top" wrapText="1"/>
    </xf>
    <xf numFmtId="0" fontId="12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12" fillId="5" borderId="0" xfId="0" applyFont="1" applyFill="1" applyAlignment="1">
      <alignment vertical="top" wrapText="1"/>
    </xf>
    <xf numFmtId="0" fontId="12" fillId="4" borderId="0" xfId="0" applyFont="1" applyFill="1" applyAlignment="1">
      <alignment vertical="top" wrapText="1"/>
    </xf>
    <xf numFmtId="0" fontId="12" fillId="4" borderId="5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14" fillId="6" borderId="0" xfId="0" applyFont="1" applyFill="1"/>
    <xf numFmtId="0" fontId="14" fillId="6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left" wrapText="1"/>
    </xf>
    <xf numFmtId="0" fontId="15" fillId="7" borderId="6" xfId="0" applyFont="1" applyFill="1" applyBorder="1" applyAlignment="1">
      <alignment horizontal="left" vertical="center" wrapText="1"/>
    </xf>
    <xf numFmtId="0" fontId="15" fillId="7" borderId="7" xfId="0" applyFont="1" applyFill="1" applyBorder="1" applyAlignment="1">
      <alignment horizontal="left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left" vertical="center" wrapText="1"/>
    </xf>
    <xf numFmtId="0" fontId="14" fillId="7" borderId="7" xfId="0" applyFont="1" applyFill="1" applyBorder="1" applyAlignment="1">
      <alignment horizontal="center" vertical="center" wrapText="1"/>
    </xf>
    <xf numFmtId="9" fontId="15" fillId="7" borderId="7" xfId="0" applyNumberFormat="1" applyFont="1" applyFill="1" applyBorder="1" applyAlignment="1">
      <alignment horizontal="center" vertical="center"/>
    </xf>
    <xf numFmtId="9" fontId="14" fillId="7" borderId="7" xfId="0" applyNumberFormat="1" applyFont="1" applyFill="1" applyBorder="1" applyAlignment="1">
      <alignment vertical="center"/>
    </xf>
    <xf numFmtId="0" fontId="14" fillId="7" borderId="7" xfId="0" applyFont="1" applyFill="1" applyBorder="1"/>
    <xf numFmtId="1" fontId="14" fillId="7" borderId="8" xfId="0" applyNumberFormat="1" applyFont="1" applyFill="1" applyBorder="1" applyAlignment="1">
      <alignment horizontal="left" vertical="center"/>
    </xf>
    <xf numFmtId="0" fontId="14" fillId="7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E3A8D91A-C0BF-9148-665F-A33B2A96996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67377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EFBAA43B-6FD1-0C26-CF17-AC8D15A9A5DB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016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7CEFA104-392A-ECD2-9512-65FB0A0D5B5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035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71110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8901793A-9F6F-B51D-E0B9-5E22B7A38D01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708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72224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9210445A-255E-E0D6-31EE-5DBA3EAFCEF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4495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72225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D1659A66-9C54-F8F8-3658-86A4AC14496B}"/>
            </a:ext>
          </a:extLst>
        </xdr:cNvPr>
        <xdr:cNvSpPr>
          <a:spLocks noChangeAspect="1" noChangeArrowheads="1"/>
        </xdr:cNvSpPr>
      </xdr:nvSpPr>
      <xdr:spPr bwMode="auto">
        <a:xfrm>
          <a:off x="1377950" y="5168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72225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72E20C40-5E53-B92C-8C36-F4B7BBC6829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584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70188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14CEC29A-27D1-7294-BC1A-C2003ECA743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6515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68153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BDA48DF3-0951-9951-F556-5B94A901B4C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730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70188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08782821-3490-FDB5-072E-D7E44716B06F}"/>
            </a:ext>
          </a:extLst>
        </xdr:cNvPr>
        <xdr:cNvSpPr>
          <a:spLocks noChangeAspect="1" noChangeArrowheads="1"/>
        </xdr:cNvSpPr>
      </xdr:nvSpPr>
      <xdr:spPr bwMode="auto">
        <a:xfrm>
          <a:off x="1377950" y="7975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72225</xdr:rowOff>
    </xdr:to>
    <xdr:sp macro="" textlink="">
      <xdr:nvSpPr>
        <xdr:cNvPr id="2062" name="AutoShape 14">
          <a:extLst>
            <a:ext uri="{FF2B5EF4-FFF2-40B4-BE49-F238E27FC236}">
              <a16:creationId xmlns:a16="http://schemas.microsoft.com/office/drawing/2014/main" id="{7B4A590E-B40A-E053-99F1-EA4561F1E85B}"/>
            </a:ext>
          </a:extLst>
        </xdr:cNvPr>
        <xdr:cNvSpPr>
          <a:spLocks noChangeAspect="1" noChangeArrowheads="1"/>
        </xdr:cNvSpPr>
      </xdr:nvSpPr>
      <xdr:spPr bwMode="auto">
        <a:xfrm>
          <a:off x="1377950" y="975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68153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240A573D-23B1-126D-A77E-331061ED5EFC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0547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64" name="AutoShape 16">
          <a:extLst>
            <a:ext uri="{FF2B5EF4-FFF2-40B4-BE49-F238E27FC236}">
              <a16:creationId xmlns:a16="http://schemas.microsoft.com/office/drawing/2014/main" id="{F3C25750-2CB8-6A43-DE2E-DDE7C5019341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133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823A5F53-D9D9-A89A-5FDD-6D988CF89B3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212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66" name="AutoShape 18">
          <a:extLst>
            <a:ext uri="{FF2B5EF4-FFF2-40B4-BE49-F238E27FC236}">
              <a16:creationId xmlns:a16="http://schemas.microsoft.com/office/drawing/2014/main" id="{6A6952EE-A976-C618-4DDE-83330DEC3683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2909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70189</xdr:rowOff>
    </xdr:to>
    <xdr:sp macro="" textlink="">
      <xdr:nvSpPr>
        <xdr:cNvPr id="2067" name="AutoShape 19">
          <a:extLst>
            <a:ext uri="{FF2B5EF4-FFF2-40B4-BE49-F238E27FC236}">
              <a16:creationId xmlns:a16="http://schemas.microsoft.com/office/drawing/2014/main" id="{6973DFA9-D214-BA79-167D-BE6A497F3F4A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369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17739</xdr:colOff>
      <xdr:row>16</xdr:row>
      <xdr:rowOff>69025</xdr:rowOff>
    </xdr:to>
    <xdr:sp macro="" textlink="">
      <xdr:nvSpPr>
        <xdr:cNvPr id="2069" name="AutoShape 21">
          <a:extLst>
            <a:ext uri="{FF2B5EF4-FFF2-40B4-BE49-F238E27FC236}">
              <a16:creationId xmlns:a16="http://schemas.microsoft.com/office/drawing/2014/main" id="{E730BCD4-85CA-7918-B442-ED2E3B839FCD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5271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31750</xdr:rowOff>
    </xdr:from>
    <xdr:to>
      <xdr:col>2</xdr:col>
      <xdr:colOff>17739</xdr:colOff>
      <xdr:row>21</xdr:row>
      <xdr:rowOff>101600</xdr:rowOff>
    </xdr:to>
    <xdr:sp macro="" textlink="">
      <xdr:nvSpPr>
        <xdr:cNvPr id="2071" name="AutoShape 23">
          <a:extLst>
            <a:ext uri="{FF2B5EF4-FFF2-40B4-BE49-F238E27FC236}">
              <a16:creationId xmlns:a16="http://schemas.microsoft.com/office/drawing/2014/main" id="{794F8C5C-6DB2-D4C8-F8BE-D1F6AAE3E53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6732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82550</xdr:rowOff>
    </xdr:from>
    <xdr:to>
      <xdr:col>2</xdr:col>
      <xdr:colOff>17739</xdr:colOff>
      <xdr:row>25</xdr:row>
      <xdr:rowOff>152399</xdr:rowOff>
    </xdr:to>
    <xdr:sp macro="" textlink="">
      <xdr:nvSpPr>
        <xdr:cNvPr id="2072" name="AutoShape 24">
          <a:extLst>
            <a:ext uri="{FF2B5EF4-FFF2-40B4-BE49-F238E27FC236}">
              <a16:creationId xmlns:a16="http://schemas.microsoft.com/office/drawing/2014/main" id="{99564873-A14E-8841-F702-B7A1F130D8FE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751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139700</xdr:rowOff>
    </xdr:from>
    <xdr:to>
      <xdr:col>2</xdr:col>
      <xdr:colOff>17739</xdr:colOff>
      <xdr:row>33</xdr:row>
      <xdr:rowOff>25400</xdr:rowOff>
    </xdr:to>
    <xdr:sp macro="" textlink="">
      <xdr:nvSpPr>
        <xdr:cNvPr id="2074" name="AutoShape 26">
          <a:extLst>
            <a:ext uri="{FF2B5EF4-FFF2-40B4-BE49-F238E27FC236}">
              <a16:creationId xmlns:a16="http://schemas.microsoft.com/office/drawing/2014/main" id="{42CE15DC-F4CE-F2BF-2CD6-E7725DC03F6F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8865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6350</xdr:rowOff>
    </xdr:from>
    <xdr:to>
      <xdr:col>2</xdr:col>
      <xdr:colOff>17739</xdr:colOff>
      <xdr:row>37</xdr:row>
      <xdr:rowOff>76200</xdr:rowOff>
    </xdr:to>
    <xdr:sp macro="" textlink="">
      <xdr:nvSpPr>
        <xdr:cNvPr id="2075" name="AutoShape 27">
          <a:extLst>
            <a:ext uri="{FF2B5EF4-FFF2-40B4-BE49-F238E27FC236}">
              <a16:creationId xmlns:a16="http://schemas.microsoft.com/office/drawing/2014/main" id="{97723104-95F6-CAF1-AC40-965AE5E68908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9653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127000</xdr:rowOff>
    </xdr:from>
    <xdr:to>
      <xdr:col>2</xdr:col>
      <xdr:colOff>17739</xdr:colOff>
      <xdr:row>41</xdr:row>
      <xdr:rowOff>12701</xdr:rowOff>
    </xdr:to>
    <xdr:sp macro="" textlink="">
      <xdr:nvSpPr>
        <xdr:cNvPr id="2076" name="AutoShape 28">
          <a:extLst>
            <a:ext uri="{FF2B5EF4-FFF2-40B4-BE49-F238E27FC236}">
              <a16:creationId xmlns:a16="http://schemas.microsoft.com/office/drawing/2014/main" id="{85A2B58B-B3C8-874E-9A5C-1F36AEB9F13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0326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177800</xdr:rowOff>
    </xdr:from>
    <xdr:to>
      <xdr:col>2</xdr:col>
      <xdr:colOff>17739</xdr:colOff>
      <xdr:row>45</xdr:row>
      <xdr:rowOff>63500</xdr:rowOff>
    </xdr:to>
    <xdr:sp macro="" textlink="">
      <xdr:nvSpPr>
        <xdr:cNvPr id="2077" name="AutoShape 29">
          <a:extLst>
            <a:ext uri="{FF2B5EF4-FFF2-40B4-BE49-F238E27FC236}">
              <a16:creationId xmlns:a16="http://schemas.microsoft.com/office/drawing/2014/main" id="{8B5690D0-8FB1-C92C-F840-01C8FEE10215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1113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114300</xdr:rowOff>
    </xdr:from>
    <xdr:to>
      <xdr:col>2</xdr:col>
      <xdr:colOff>17739</xdr:colOff>
      <xdr:row>49</xdr:row>
      <xdr:rowOff>4280</xdr:rowOff>
    </xdr:to>
    <xdr:sp macro="" textlink="">
      <xdr:nvSpPr>
        <xdr:cNvPr id="2078" name="AutoShape 30">
          <a:extLst>
            <a:ext uri="{FF2B5EF4-FFF2-40B4-BE49-F238E27FC236}">
              <a16:creationId xmlns:a16="http://schemas.microsoft.com/office/drawing/2014/main" id="{6675E8CF-848E-5FA0-B9C5-F2E34F7088E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178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50800</xdr:rowOff>
    </xdr:from>
    <xdr:to>
      <xdr:col>2</xdr:col>
      <xdr:colOff>17739</xdr:colOff>
      <xdr:row>52</xdr:row>
      <xdr:rowOff>120650</xdr:rowOff>
    </xdr:to>
    <xdr:sp macro="" textlink="">
      <xdr:nvSpPr>
        <xdr:cNvPr id="2079" name="AutoShape 31">
          <a:extLst>
            <a:ext uri="{FF2B5EF4-FFF2-40B4-BE49-F238E27FC236}">
              <a16:creationId xmlns:a16="http://schemas.microsoft.com/office/drawing/2014/main" id="{3FAFD936-0DB3-9CB9-4781-60FEF39C205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245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171450</xdr:rowOff>
    </xdr:from>
    <xdr:to>
      <xdr:col>2</xdr:col>
      <xdr:colOff>17739</xdr:colOff>
      <xdr:row>56</xdr:row>
      <xdr:rowOff>57150</xdr:rowOff>
    </xdr:to>
    <xdr:sp macro="" textlink="">
      <xdr:nvSpPr>
        <xdr:cNvPr id="2080" name="AutoShape 32">
          <a:extLst>
            <a:ext uri="{FF2B5EF4-FFF2-40B4-BE49-F238E27FC236}">
              <a16:creationId xmlns:a16="http://schemas.microsoft.com/office/drawing/2014/main" id="{65348B43-5ADA-66C5-1909-F4F5D155A168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313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38100</xdr:rowOff>
    </xdr:from>
    <xdr:to>
      <xdr:col>2</xdr:col>
      <xdr:colOff>17739</xdr:colOff>
      <xdr:row>60</xdr:row>
      <xdr:rowOff>107951</xdr:rowOff>
    </xdr:to>
    <xdr:sp macro="" textlink="">
      <xdr:nvSpPr>
        <xdr:cNvPr id="2081" name="AutoShape 33">
          <a:extLst>
            <a:ext uri="{FF2B5EF4-FFF2-40B4-BE49-F238E27FC236}">
              <a16:creationId xmlns:a16="http://schemas.microsoft.com/office/drawing/2014/main" id="{C0AAAEB2-44ED-C5D5-F8C2-28006546873E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3920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431412</xdr:colOff>
      <xdr:row>57</xdr:row>
      <xdr:rowOff>6496</xdr:rowOff>
    </xdr:from>
    <xdr:to>
      <xdr:col>2</xdr:col>
      <xdr:colOff>449151</xdr:colOff>
      <xdr:row>60</xdr:row>
      <xdr:rowOff>76347</xdr:rowOff>
    </xdr:to>
    <xdr:sp macro="" textlink="">
      <xdr:nvSpPr>
        <xdr:cNvPr id="2082" name="AutoShape 34">
          <a:extLst>
            <a:ext uri="{FF2B5EF4-FFF2-40B4-BE49-F238E27FC236}">
              <a16:creationId xmlns:a16="http://schemas.microsoft.com/office/drawing/2014/main" id="{561E29AC-6EFA-E8FA-ECEA-C541F05806E0}"/>
            </a:ext>
          </a:extLst>
        </xdr:cNvPr>
        <xdr:cNvSpPr>
          <a:spLocks noChangeAspect="1" noChangeArrowheads="1"/>
        </xdr:cNvSpPr>
      </xdr:nvSpPr>
      <xdr:spPr bwMode="auto">
        <a:xfrm>
          <a:off x="431412" y="8111229"/>
          <a:ext cx="623464" cy="622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120650</xdr:rowOff>
    </xdr:from>
    <xdr:to>
      <xdr:col>2</xdr:col>
      <xdr:colOff>17739</xdr:colOff>
      <xdr:row>74</xdr:row>
      <xdr:rowOff>6350</xdr:rowOff>
    </xdr:to>
    <xdr:sp macro="" textlink="">
      <xdr:nvSpPr>
        <xdr:cNvPr id="2084" name="AutoShape 36">
          <a:extLst>
            <a:ext uri="{FF2B5EF4-FFF2-40B4-BE49-F238E27FC236}">
              <a16:creationId xmlns:a16="http://schemas.microsoft.com/office/drawing/2014/main" id="{DC0007B4-4585-B732-E915-AD3EB9B2B1D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639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171450</xdr:rowOff>
    </xdr:from>
    <xdr:to>
      <xdr:col>2</xdr:col>
      <xdr:colOff>17739</xdr:colOff>
      <xdr:row>78</xdr:row>
      <xdr:rowOff>57150</xdr:rowOff>
    </xdr:to>
    <xdr:sp macro="" textlink="">
      <xdr:nvSpPr>
        <xdr:cNvPr id="2085" name="AutoShape 37">
          <a:extLst>
            <a:ext uri="{FF2B5EF4-FFF2-40B4-BE49-F238E27FC236}">
              <a16:creationId xmlns:a16="http://schemas.microsoft.com/office/drawing/2014/main" id="{761AA754-48BA-C4ED-F071-8027397A65E2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7184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158750</xdr:rowOff>
    </xdr:from>
    <xdr:to>
      <xdr:col>2</xdr:col>
      <xdr:colOff>17739</xdr:colOff>
      <xdr:row>86</xdr:row>
      <xdr:rowOff>44450</xdr:rowOff>
    </xdr:to>
    <xdr:sp macro="" textlink="">
      <xdr:nvSpPr>
        <xdr:cNvPr id="2087" name="AutoShape 39">
          <a:extLst>
            <a:ext uri="{FF2B5EF4-FFF2-40B4-BE49-F238E27FC236}">
              <a16:creationId xmlns:a16="http://schemas.microsoft.com/office/drawing/2014/main" id="{B7466594-CCB6-3D75-CE3D-CAD513B05E8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8644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95250</xdr:rowOff>
    </xdr:from>
    <xdr:to>
      <xdr:col>2</xdr:col>
      <xdr:colOff>17739</xdr:colOff>
      <xdr:row>89</xdr:row>
      <xdr:rowOff>165100</xdr:rowOff>
    </xdr:to>
    <xdr:sp macro="" textlink="">
      <xdr:nvSpPr>
        <xdr:cNvPr id="2088" name="AutoShape 40">
          <a:extLst>
            <a:ext uri="{FF2B5EF4-FFF2-40B4-BE49-F238E27FC236}">
              <a16:creationId xmlns:a16="http://schemas.microsoft.com/office/drawing/2014/main" id="{47980AF8-B948-79C4-398E-BFC8784026DE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931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146050</xdr:rowOff>
    </xdr:from>
    <xdr:to>
      <xdr:col>2</xdr:col>
      <xdr:colOff>17739</xdr:colOff>
      <xdr:row>94</xdr:row>
      <xdr:rowOff>31751</xdr:rowOff>
    </xdr:to>
    <xdr:sp macro="" textlink="">
      <xdr:nvSpPr>
        <xdr:cNvPr id="2089" name="AutoShape 41">
          <a:extLst>
            <a:ext uri="{FF2B5EF4-FFF2-40B4-BE49-F238E27FC236}">
              <a16:creationId xmlns:a16="http://schemas.microsoft.com/office/drawing/2014/main" id="{BB641C07-05BA-A558-0D78-207C191C264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0105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82550</xdr:rowOff>
    </xdr:from>
    <xdr:to>
      <xdr:col>2</xdr:col>
      <xdr:colOff>17739</xdr:colOff>
      <xdr:row>97</xdr:row>
      <xdr:rowOff>152399</xdr:rowOff>
    </xdr:to>
    <xdr:sp macro="" textlink="">
      <xdr:nvSpPr>
        <xdr:cNvPr id="2090" name="AutoShape 42">
          <a:extLst>
            <a:ext uri="{FF2B5EF4-FFF2-40B4-BE49-F238E27FC236}">
              <a16:creationId xmlns:a16="http://schemas.microsoft.com/office/drawing/2014/main" id="{D3E0C1B7-CF5E-9E04-65CE-79967E2BFAF2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077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133350</xdr:rowOff>
    </xdr:from>
    <xdr:to>
      <xdr:col>2</xdr:col>
      <xdr:colOff>17739</xdr:colOff>
      <xdr:row>102</xdr:row>
      <xdr:rowOff>19050</xdr:rowOff>
    </xdr:to>
    <xdr:sp macro="" textlink="">
      <xdr:nvSpPr>
        <xdr:cNvPr id="2091" name="AutoShape 43">
          <a:extLst>
            <a:ext uri="{FF2B5EF4-FFF2-40B4-BE49-F238E27FC236}">
              <a16:creationId xmlns:a16="http://schemas.microsoft.com/office/drawing/2014/main" id="{D7A106D4-338C-965D-44D8-EAC5CD18467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1565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17739</xdr:colOff>
      <xdr:row>106</xdr:row>
      <xdr:rowOff>69850</xdr:rowOff>
    </xdr:to>
    <xdr:sp macro="" textlink="">
      <xdr:nvSpPr>
        <xdr:cNvPr id="2092" name="AutoShape 44">
          <a:extLst>
            <a:ext uri="{FF2B5EF4-FFF2-40B4-BE49-F238E27FC236}">
              <a16:creationId xmlns:a16="http://schemas.microsoft.com/office/drawing/2014/main" id="{F1541530-9BB5-EC3C-A5E1-1B52B982444D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2353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120650</xdr:rowOff>
    </xdr:from>
    <xdr:to>
      <xdr:col>2</xdr:col>
      <xdr:colOff>17739</xdr:colOff>
      <xdr:row>110</xdr:row>
      <xdr:rowOff>6350</xdr:rowOff>
    </xdr:to>
    <xdr:sp macro="" textlink="">
      <xdr:nvSpPr>
        <xdr:cNvPr id="2093" name="AutoShape 45">
          <a:extLst>
            <a:ext uri="{FF2B5EF4-FFF2-40B4-BE49-F238E27FC236}">
              <a16:creationId xmlns:a16="http://schemas.microsoft.com/office/drawing/2014/main" id="{D4505898-05FB-2995-95A0-31732BD4DFE9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3026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171450</xdr:rowOff>
    </xdr:from>
    <xdr:to>
      <xdr:col>2</xdr:col>
      <xdr:colOff>17739</xdr:colOff>
      <xdr:row>114</xdr:row>
      <xdr:rowOff>57150</xdr:rowOff>
    </xdr:to>
    <xdr:sp macro="" textlink="">
      <xdr:nvSpPr>
        <xdr:cNvPr id="2094" name="AutoShape 46">
          <a:extLst>
            <a:ext uri="{FF2B5EF4-FFF2-40B4-BE49-F238E27FC236}">
              <a16:creationId xmlns:a16="http://schemas.microsoft.com/office/drawing/2014/main" id="{1C005574-244E-C5BF-1CFE-F39E54D75855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3813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107950</xdr:rowOff>
    </xdr:from>
    <xdr:to>
      <xdr:col>2</xdr:col>
      <xdr:colOff>17739</xdr:colOff>
      <xdr:row>117</xdr:row>
      <xdr:rowOff>177801</xdr:rowOff>
    </xdr:to>
    <xdr:sp macro="" textlink="">
      <xdr:nvSpPr>
        <xdr:cNvPr id="2095" name="AutoShape 47">
          <a:extLst>
            <a:ext uri="{FF2B5EF4-FFF2-40B4-BE49-F238E27FC236}">
              <a16:creationId xmlns:a16="http://schemas.microsoft.com/office/drawing/2014/main" id="{44C7B2B2-87C1-D586-2550-5FD26AAC4A8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448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158750</xdr:rowOff>
    </xdr:from>
    <xdr:to>
      <xdr:col>2</xdr:col>
      <xdr:colOff>17739</xdr:colOff>
      <xdr:row>122</xdr:row>
      <xdr:rowOff>44450</xdr:rowOff>
    </xdr:to>
    <xdr:sp macro="" textlink="">
      <xdr:nvSpPr>
        <xdr:cNvPr id="2096" name="AutoShape 48">
          <a:extLst>
            <a:ext uri="{FF2B5EF4-FFF2-40B4-BE49-F238E27FC236}">
              <a16:creationId xmlns:a16="http://schemas.microsoft.com/office/drawing/2014/main" id="{31418210-07B4-7A7B-A603-684F630A50A1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5274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95250</xdr:rowOff>
    </xdr:from>
    <xdr:to>
      <xdr:col>2</xdr:col>
      <xdr:colOff>17739</xdr:colOff>
      <xdr:row>125</xdr:row>
      <xdr:rowOff>165100</xdr:rowOff>
    </xdr:to>
    <xdr:sp macro="" textlink="">
      <xdr:nvSpPr>
        <xdr:cNvPr id="2097" name="AutoShape 49">
          <a:extLst>
            <a:ext uri="{FF2B5EF4-FFF2-40B4-BE49-F238E27FC236}">
              <a16:creationId xmlns:a16="http://schemas.microsoft.com/office/drawing/2014/main" id="{ECC88ABE-3210-B270-BD03-78BF2E93C068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5947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31750</xdr:rowOff>
    </xdr:from>
    <xdr:to>
      <xdr:col>2</xdr:col>
      <xdr:colOff>17739</xdr:colOff>
      <xdr:row>129</xdr:row>
      <xdr:rowOff>101600</xdr:rowOff>
    </xdr:to>
    <xdr:sp macro="" textlink="">
      <xdr:nvSpPr>
        <xdr:cNvPr id="2098" name="AutoShape 50">
          <a:extLst>
            <a:ext uri="{FF2B5EF4-FFF2-40B4-BE49-F238E27FC236}">
              <a16:creationId xmlns:a16="http://schemas.microsoft.com/office/drawing/2014/main" id="{ECFDB87A-3AFE-CEF7-AB38-CC024C1BCC2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6620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82550</xdr:rowOff>
    </xdr:from>
    <xdr:to>
      <xdr:col>2</xdr:col>
      <xdr:colOff>17739</xdr:colOff>
      <xdr:row>133</xdr:row>
      <xdr:rowOff>152400</xdr:rowOff>
    </xdr:to>
    <xdr:sp macro="" textlink="">
      <xdr:nvSpPr>
        <xdr:cNvPr id="2099" name="AutoShape 51">
          <a:extLst>
            <a:ext uri="{FF2B5EF4-FFF2-40B4-BE49-F238E27FC236}">
              <a16:creationId xmlns:a16="http://schemas.microsoft.com/office/drawing/2014/main" id="{ACBA6CEE-0C74-A557-8184-28273E0B2F1D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7407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29</xdr:row>
      <xdr:rowOff>82550</xdr:rowOff>
    </xdr:from>
    <xdr:ext cx="623464" cy="622445"/>
    <xdr:sp macro="" textlink="">
      <xdr:nvSpPr>
        <xdr:cNvPr id="2" name="AutoShape 24">
          <a:extLst>
            <a:ext uri="{FF2B5EF4-FFF2-40B4-BE49-F238E27FC236}">
              <a16:creationId xmlns:a16="http://schemas.microsoft.com/office/drawing/2014/main" id="{D0A6B459-DD9A-401E-978F-67553306982E}"/>
            </a:ext>
          </a:extLst>
        </xdr:cNvPr>
        <xdr:cNvSpPr>
          <a:spLocks noChangeAspect="1" noChangeArrowheads="1"/>
        </xdr:cNvSpPr>
      </xdr:nvSpPr>
      <xdr:spPr bwMode="auto">
        <a:xfrm>
          <a:off x="0" y="11914878"/>
          <a:ext cx="623464" cy="622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926766</xdr:colOff>
      <xdr:row>7</xdr:row>
      <xdr:rowOff>107950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2045B93-95E5-40A6-A65B-0BF5B0BC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5F1DD0B-6DFC-471D-A371-ED98724D9B6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1822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DB91B315-7EF3-4209-B57E-4AC94A1323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511EBE23-52E5-46AE-957B-A283DDB59E7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953"/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12B0C138-69A8-4A4A-AD1D-9BCAFE91BA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3067"/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795C6DF-CF11-4284-9EE0-386B60CF5C9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3068"/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774E56F3-320D-4CD1-BF20-9CF60CD4FBC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3068"/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DDBD5638-0362-4573-8984-DB8294F676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1"/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25C5FAEF-C5FC-440A-8706-999BF40B07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18996"/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2577E026-7D60-48A9-B9BC-49FD7E6FE89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1"/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C0E39F98-5BCE-43A3-ACB7-A640F8E809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3068"/>
    <xdr:sp macro="" textlink="">
      <xdr:nvSpPr>
        <xdr:cNvPr id="14" name="AutoShape 14">
          <a:extLst>
            <a:ext uri="{FF2B5EF4-FFF2-40B4-BE49-F238E27FC236}">
              <a16:creationId xmlns:a16="http://schemas.microsoft.com/office/drawing/2014/main" id="{DB0D759D-D5CF-4BAB-A93E-34EB05DE23B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18996"/>
    <xdr:sp macro="" textlink="">
      <xdr:nvSpPr>
        <xdr:cNvPr id="15" name="AutoShape 15">
          <a:extLst>
            <a:ext uri="{FF2B5EF4-FFF2-40B4-BE49-F238E27FC236}">
              <a16:creationId xmlns:a16="http://schemas.microsoft.com/office/drawing/2014/main" id="{43828EBD-6150-43CA-8C36-20172E2DC17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16" name="AutoShape 16">
          <a:extLst>
            <a:ext uri="{FF2B5EF4-FFF2-40B4-BE49-F238E27FC236}">
              <a16:creationId xmlns:a16="http://schemas.microsoft.com/office/drawing/2014/main" id="{A8C5A24E-564F-41CC-A5B6-A6A46A5C493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17" name="AutoShape 17">
          <a:extLst>
            <a:ext uri="{FF2B5EF4-FFF2-40B4-BE49-F238E27FC236}">
              <a16:creationId xmlns:a16="http://schemas.microsoft.com/office/drawing/2014/main" id="{E29BCAB1-7E2C-4EEA-9D96-FBCF23264F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18" name="AutoShape 18">
          <a:extLst>
            <a:ext uri="{FF2B5EF4-FFF2-40B4-BE49-F238E27FC236}">
              <a16:creationId xmlns:a16="http://schemas.microsoft.com/office/drawing/2014/main" id="{6B3AD5AF-7194-4795-ADA9-A17D049F7EE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21032"/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294BD73E-AD7D-4A6C-8939-A441B363139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136" cy="619868"/>
    <xdr:sp macro="" textlink="">
      <xdr:nvSpPr>
        <xdr:cNvPr id="20" name="AutoShape 21">
          <a:extLst>
            <a:ext uri="{FF2B5EF4-FFF2-40B4-BE49-F238E27FC236}">
              <a16:creationId xmlns:a16="http://schemas.microsoft.com/office/drawing/2014/main" id="{45717095-7321-4556-AEBD-FDCA8721D2F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618D1DE2-343E-4B86-B644-440EC5F9ABA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1822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34BD75F-7E20-4B1B-BDF2-27BD65F8A2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23" name="AutoShape 5">
          <a:extLst>
            <a:ext uri="{FF2B5EF4-FFF2-40B4-BE49-F238E27FC236}">
              <a16:creationId xmlns:a16="http://schemas.microsoft.com/office/drawing/2014/main" id="{E9C8EA51-2D1E-4A71-B946-C72C85290B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953"/>
    <xdr:sp macro="" textlink="">
      <xdr:nvSpPr>
        <xdr:cNvPr id="24" name="AutoShape 6">
          <a:extLst>
            <a:ext uri="{FF2B5EF4-FFF2-40B4-BE49-F238E27FC236}">
              <a16:creationId xmlns:a16="http://schemas.microsoft.com/office/drawing/2014/main" id="{F6A470F7-0C39-4991-B0BF-AD666557846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3067"/>
    <xdr:sp macro="" textlink="">
      <xdr:nvSpPr>
        <xdr:cNvPr id="25" name="AutoShape 7">
          <a:extLst>
            <a:ext uri="{FF2B5EF4-FFF2-40B4-BE49-F238E27FC236}">
              <a16:creationId xmlns:a16="http://schemas.microsoft.com/office/drawing/2014/main" id="{AC275A66-AB05-4AD4-8307-C9E670771B8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3068"/>
    <xdr:sp macro="" textlink="">
      <xdr:nvSpPr>
        <xdr:cNvPr id="26" name="AutoShape 8">
          <a:extLst>
            <a:ext uri="{FF2B5EF4-FFF2-40B4-BE49-F238E27FC236}">
              <a16:creationId xmlns:a16="http://schemas.microsoft.com/office/drawing/2014/main" id="{F0C43E93-A815-41E3-8D5E-C80004E2590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3068"/>
    <xdr:sp macro="" textlink="">
      <xdr:nvSpPr>
        <xdr:cNvPr id="27" name="AutoShape 9">
          <a:extLst>
            <a:ext uri="{FF2B5EF4-FFF2-40B4-BE49-F238E27FC236}">
              <a16:creationId xmlns:a16="http://schemas.microsoft.com/office/drawing/2014/main" id="{32691A6D-2D7A-4D67-B1D0-A4C08BC04F2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1"/>
    <xdr:sp macro="" textlink="">
      <xdr:nvSpPr>
        <xdr:cNvPr id="28" name="AutoShape 10">
          <a:extLst>
            <a:ext uri="{FF2B5EF4-FFF2-40B4-BE49-F238E27FC236}">
              <a16:creationId xmlns:a16="http://schemas.microsoft.com/office/drawing/2014/main" id="{465D12DE-0835-4AF4-B6D5-F8FB9C33D16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18996"/>
    <xdr:sp macro="" textlink="">
      <xdr:nvSpPr>
        <xdr:cNvPr id="29" name="AutoShape 11">
          <a:extLst>
            <a:ext uri="{FF2B5EF4-FFF2-40B4-BE49-F238E27FC236}">
              <a16:creationId xmlns:a16="http://schemas.microsoft.com/office/drawing/2014/main" id="{5178F079-CDB6-49CD-B071-2C537CC7A56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1"/>
    <xdr:sp macro="" textlink="">
      <xdr:nvSpPr>
        <xdr:cNvPr id="30" name="AutoShape 12">
          <a:extLst>
            <a:ext uri="{FF2B5EF4-FFF2-40B4-BE49-F238E27FC236}">
              <a16:creationId xmlns:a16="http://schemas.microsoft.com/office/drawing/2014/main" id="{22E3DB37-68DD-4FB3-8342-1E5441C9E5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3068"/>
    <xdr:sp macro="" textlink="">
      <xdr:nvSpPr>
        <xdr:cNvPr id="31" name="AutoShape 14">
          <a:extLst>
            <a:ext uri="{FF2B5EF4-FFF2-40B4-BE49-F238E27FC236}">
              <a16:creationId xmlns:a16="http://schemas.microsoft.com/office/drawing/2014/main" id="{ABEAE3A4-AA34-4159-B0BD-FAFD41750AF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18996"/>
    <xdr:sp macro="" textlink="">
      <xdr:nvSpPr>
        <xdr:cNvPr id="32" name="AutoShape 15">
          <a:extLst>
            <a:ext uri="{FF2B5EF4-FFF2-40B4-BE49-F238E27FC236}">
              <a16:creationId xmlns:a16="http://schemas.microsoft.com/office/drawing/2014/main" id="{077A4D19-32CB-4A93-A12C-0EE2DF7FB1D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33" name="AutoShape 16">
          <a:extLst>
            <a:ext uri="{FF2B5EF4-FFF2-40B4-BE49-F238E27FC236}">
              <a16:creationId xmlns:a16="http://schemas.microsoft.com/office/drawing/2014/main" id="{27C2B3BF-1984-4C75-9381-A954667A9E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34" name="AutoShape 17">
          <a:extLst>
            <a:ext uri="{FF2B5EF4-FFF2-40B4-BE49-F238E27FC236}">
              <a16:creationId xmlns:a16="http://schemas.microsoft.com/office/drawing/2014/main" id="{06E6DAF5-9652-45B7-8DD0-E57CF5CF502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35" name="AutoShape 18">
          <a:extLst>
            <a:ext uri="{FF2B5EF4-FFF2-40B4-BE49-F238E27FC236}">
              <a16:creationId xmlns:a16="http://schemas.microsoft.com/office/drawing/2014/main" id="{6B2104DF-A65F-4AA3-B0D1-4235D59A885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21032"/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E598DBD9-CEA9-4B7C-8753-07C4D19105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136" cy="619868"/>
    <xdr:sp macro="" textlink="">
      <xdr:nvSpPr>
        <xdr:cNvPr id="37" name="AutoShape 21">
          <a:extLst>
            <a:ext uri="{FF2B5EF4-FFF2-40B4-BE49-F238E27FC236}">
              <a16:creationId xmlns:a16="http://schemas.microsoft.com/office/drawing/2014/main" id="{1656D5FA-3054-4CDE-B04D-023BAACC774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E51BFC59-DCD3-42EF-A2FC-1A523C4F72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182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2F164DD2-274D-49E3-A289-1F5C51C8D39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40" name="AutoShape 5">
          <a:extLst>
            <a:ext uri="{FF2B5EF4-FFF2-40B4-BE49-F238E27FC236}">
              <a16:creationId xmlns:a16="http://schemas.microsoft.com/office/drawing/2014/main" id="{D6E06C77-5019-485B-A6AF-B190DBF6889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953"/>
    <xdr:sp macro="" textlink="">
      <xdr:nvSpPr>
        <xdr:cNvPr id="41" name="AutoShape 6">
          <a:extLst>
            <a:ext uri="{FF2B5EF4-FFF2-40B4-BE49-F238E27FC236}">
              <a16:creationId xmlns:a16="http://schemas.microsoft.com/office/drawing/2014/main" id="{10DE25B0-767B-431A-914F-C7E0F990CDF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3067"/>
    <xdr:sp macro="" textlink="">
      <xdr:nvSpPr>
        <xdr:cNvPr id="42" name="AutoShape 7">
          <a:extLst>
            <a:ext uri="{FF2B5EF4-FFF2-40B4-BE49-F238E27FC236}">
              <a16:creationId xmlns:a16="http://schemas.microsoft.com/office/drawing/2014/main" id="{B32E57DA-2B66-47D4-90FF-36B69A76472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3068"/>
    <xdr:sp macro="" textlink="">
      <xdr:nvSpPr>
        <xdr:cNvPr id="43" name="AutoShape 8">
          <a:extLst>
            <a:ext uri="{FF2B5EF4-FFF2-40B4-BE49-F238E27FC236}">
              <a16:creationId xmlns:a16="http://schemas.microsoft.com/office/drawing/2014/main" id="{DA691DAD-B177-4F32-B2C3-C563A978C2E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3068"/>
    <xdr:sp macro="" textlink="">
      <xdr:nvSpPr>
        <xdr:cNvPr id="44" name="AutoShape 9">
          <a:extLst>
            <a:ext uri="{FF2B5EF4-FFF2-40B4-BE49-F238E27FC236}">
              <a16:creationId xmlns:a16="http://schemas.microsoft.com/office/drawing/2014/main" id="{555709E0-0E2D-46EA-9F82-4F7AA61D9E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1"/>
    <xdr:sp macro="" textlink="">
      <xdr:nvSpPr>
        <xdr:cNvPr id="45" name="AutoShape 10">
          <a:extLst>
            <a:ext uri="{FF2B5EF4-FFF2-40B4-BE49-F238E27FC236}">
              <a16:creationId xmlns:a16="http://schemas.microsoft.com/office/drawing/2014/main" id="{0132BD00-B9A0-433B-8CB4-8D359681132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18996"/>
    <xdr:sp macro="" textlink="">
      <xdr:nvSpPr>
        <xdr:cNvPr id="46" name="AutoShape 11">
          <a:extLst>
            <a:ext uri="{FF2B5EF4-FFF2-40B4-BE49-F238E27FC236}">
              <a16:creationId xmlns:a16="http://schemas.microsoft.com/office/drawing/2014/main" id="{1CDCFDC0-150C-4758-A685-CAE672D2F37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1"/>
    <xdr:sp macro="" textlink="">
      <xdr:nvSpPr>
        <xdr:cNvPr id="47" name="AutoShape 12">
          <a:extLst>
            <a:ext uri="{FF2B5EF4-FFF2-40B4-BE49-F238E27FC236}">
              <a16:creationId xmlns:a16="http://schemas.microsoft.com/office/drawing/2014/main" id="{9B2D8318-8CD1-4B4C-A7AA-FB6441FF41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3068"/>
    <xdr:sp macro="" textlink="">
      <xdr:nvSpPr>
        <xdr:cNvPr id="48" name="AutoShape 14">
          <a:extLst>
            <a:ext uri="{FF2B5EF4-FFF2-40B4-BE49-F238E27FC236}">
              <a16:creationId xmlns:a16="http://schemas.microsoft.com/office/drawing/2014/main" id="{D198067E-33FC-48A8-90F9-9187A7C4CA9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18996"/>
    <xdr:sp macro="" textlink="">
      <xdr:nvSpPr>
        <xdr:cNvPr id="49" name="AutoShape 15">
          <a:extLst>
            <a:ext uri="{FF2B5EF4-FFF2-40B4-BE49-F238E27FC236}">
              <a16:creationId xmlns:a16="http://schemas.microsoft.com/office/drawing/2014/main" id="{F4BB1FFC-4C52-4A96-AB96-6F471C9BA7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50" name="AutoShape 16">
          <a:extLst>
            <a:ext uri="{FF2B5EF4-FFF2-40B4-BE49-F238E27FC236}">
              <a16:creationId xmlns:a16="http://schemas.microsoft.com/office/drawing/2014/main" id="{6C07285E-CA41-4776-A093-DE7487DD43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51" name="AutoShape 17">
          <a:extLst>
            <a:ext uri="{FF2B5EF4-FFF2-40B4-BE49-F238E27FC236}">
              <a16:creationId xmlns:a16="http://schemas.microsoft.com/office/drawing/2014/main" id="{8E1A7A18-22D7-4FFE-B4E3-6918EFC81CB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52" name="AutoShape 18">
          <a:extLst>
            <a:ext uri="{FF2B5EF4-FFF2-40B4-BE49-F238E27FC236}">
              <a16:creationId xmlns:a16="http://schemas.microsoft.com/office/drawing/2014/main" id="{02C90DAA-7AB3-404E-A096-FAEFC0CC0E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21032"/>
    <xdr:sp macro="" textlink="">
      <xdr:nvSpPr>
        <xdr:cNvPr id="53" name="AutoShape 19">
          <a:extLst>
            <a:ext uri="{FF2B5EF4-FFF2-40B4-BE49-F238E27FC236}">
              <a16:creationId xmlns:a16="http://schemas.microsoft.com/office/drawing/2014/main" id="{DD7247E1-EEA4-40FA-9B26-20B819AE98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136" cy="619868"/>
    <xdr:sp macro="" textlink="">
      <xdr:nvSpPr>
        <xdr:cNvPr id="54" name="AutoShape 21">
          <a:extLst>
            <a:ext uri="{FF2B5EF4-FFF2-40B4-BE49-F238E27FC236}">
              <a16:creationId xmlns:a16="http://schemas.microsoft.com/office/drawing/2014/main" id="{BEBA994F-6947-4B70-93B1-10E8374BF2F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6769B3FE-3D65-4003-B6E8-B3DBC9B08AB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18220"/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596E97F1-CDB5-4E54-9BAD-B71AC1C935A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CC9BB69A-684A-4307-BB23-B14613C7F4A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953"/>
    <xdr:sp macro="" textlink="">
      <xdr:nvSpPr>
        <xdr:cNvPr id="58" name="AutoShape 6">
          <a:extLst>
            <a:ext uri="{FF2B5EF4-FFF2-40B4-BE49-F238E27FC236}">
              <a16:creationId xmlns:a16="http://schemas.microsoft.com/office/drawing/2014/main" id="{6D3BB8DD-DB6D-4E7C-ACCD-A3C55BEEE7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3067"/>
    <xdr:sp macro="" textlink="">
      <xdr:nvSpPr>
        <xdr:cNvPr id="59" name="AutoShape 7">
          <a:extLst>
            <a:ext uri="{FF2B5EF4-FFF2-40B4-BE49-F238E27FC236}">
              <a16:creationId xmlns:a16="http://schemas.microsoft.com/office/drawing/2014/main" id="{9D3633E7-63C0-46D5-8121-655B76F23E6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3068"/>
    <xdr:sp macro="" textlink="">
      <xdr:nvSpPr>
        <xdr:cNvPr id="60" name="AutoShape 8">
          <a:extLst>
            <a:ext uri="{FF2B5EF4-FFF2-40B4-BE49-F238E27FC236}">
              <a16:creationId xmlns:a16="http://schemas.microsoft.com/office/drawing/2014/main" id="{09C0B950-7AFB-424F-B8CA-175F01F5807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3068"/>
    <xdr:sp macro="" textlink="">
      <xdr:nvSpPr>
        <xdr:cNvPr id="61" name="AutoShape 9">
          <a:extLst>
            <a:ext uri="{FF2B5EF4-FFF2-40B4-BE49-F238E27FC236}">
              <a16:creationId xmlns:a16="http://schemas.microsoft.com/office/drawing/2014/main" id="{E8D29C92-3067-488B-89F6-AD3600DD59D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1"/>
    <xdr:sp macro="" textlink="">
      <xdr:nvSpPr>
        <xdr:cNvPr id="62" name="AutoShape 10">
          <a:extLst>
            <a:ext uri="{FF2B5EF4-FFF2-40B4-BE49-F238E27FC236}">
              <a16:creationId xmlns:a16="http://schemas.microsoft.com/office/drawing/2014/main" id="{E7482B2E-4E3B-4632-B1CB-FB8116F35A2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18996"/>
    <xdr:sp macro="" textlink="">
      <xdr:nvSpPr>
        <xdr:cNvPr id="63" name="AutoShape 11">
          <a:extLst>
            <a:ext uri="{FF2B5EF4-FFF2-40B4-BE49-F238E27FC236}">
              <a16:creationId xmlns:a16="http://schemas.microsoft.com/office/drawing/2014/main" id="{E5F7852A-D87F-4E71-8832-5DB8F4B7685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1"/>
    <xdr:sp macro="" textlink="">
      <xdr:nvSpPr>
        <xdr:cNvPr id="2048" name="AutoShape 12">
          <a:extLst>
            <a:ext uri="{FF2B5EF4-FFF2-40B4-BE49-F238E27FC236}">
              <a16:creationId xmlns:a16="http://schemas.microsoft.com/office/drawing/2014/main" id="{F64D864D-303A-4173-B84C-C095E406B4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3068"/>
    <xdr:sp macro="" textlink="">
      <xdr:nvSpPr>
        <xdr:cNvPr id="2051" name="AutoShape 14">
          <a:extLst>
            <a:ext uri="{FF2B5EF4-FFF2-40B4-BE49-F238E27FC236}">
              <a16:creationId xmlns:a16="http://schemas.microsoft.com/office/drawing/2014/main" id="{B6937BF0-F301-4449-AABD-F1110B20CE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18996"/>
    <xdr:sp macro="" textlink="">
      <xdr:nvSpPr>
        <xdr:cNvPr id="2052" name="AutoShape 15">
          <a:extLst>
            <a:ext uri="{FF2B5EF4-FFF2-40B4-BE49-F238E27FC236}">
              <a16:creationId xmlns:a16="http://schemas.microsoft.com/office/drawing/2014/main" id="{9CAEC565-9B68-4319-BEE8-21FA43E83E5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2061" name="AutoShape 16">
          <a:extLst>
            <a:ext uri="{FF2B5EF4-FFF2-40B4-BE49-F238E27FC236}">
              <a16:creationId xmlns:a16="http://schemas.microsoft.com/office/drawing/2014/main" id="{2F779327-4923-4A44-9056-79EF0DCC59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2068" name="AutoShape 17">
          <a:extLst>
            <a:ext uri="{FF2B5EF4-FFF2-40B4-BE49-F238E27FC236}">
              <a16:creationId xmlns:a16="http://schemas.microsoft.com/office/drawing/2014/main" id="{4A194B4E-98B4-4903-8630-EB0D133CA39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2070" name="AutoShape 18">
          <a:extLst>
            <a:ext uri="{FF2B5EF4-FFF2-40B4-BE49-F238E27FC236}">
              <a16:creationId xmlns:a16="http://schemas.microsoft.com/office/drawing/2014/main" id="{B39FB422-1FEF-4B04-9740-A5AF9AE058E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21032"/>
    <xdr:sp macro="" textlink="">
      <xdr:nvSpPr>
        <xdr:cNvPr id="2073" name="AutoShape 19">
          <a:extLst>
            <a:ext uri="{FF2B5EF4-FFF2-40B4-BE49-F238E27FC236}">
              <a16:creationId xmlns:a16="http://schemas.microsoft.com/office/drawing/2014/main" id="{62C6E7CF-8A49-41CA-A05B-3594081A25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136" cy="619868"/>
    <xdr:sp macro="" textlink="">
      <xdr:nvSpPr>
        <xdr:cNvPr id="2086" name="AutoShape 21">
          <a:extLst>
            <a:ext uri="{FF2B5EF4-FFF2-40B4-BE49-F238E27FC236}">
              <a16:creationId xmlns:a16="http://schemas.microsoft.com/office/drawing/2014/main" id="{0A2B6000-98DB-45D4-BCCC-35EB4EB16DB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C3F32F60-CFB9-4082-B5F3-0248870704C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18220"/>
    <xdr:sp macro="" textlink="">
      <xdr:nvSpPr>
        <xdr:cNvPr id="2101" name="AutoShape 2">
          <a:extLst>
            <a:ext uri="{FF2B5EF4-FFF2-40B4-BE49-F238E27FC236}">
              <a16:creationId xmlns:a16="http://schemas.microsoft.com/office/drawing/2014/main" id="{BDFD9972-E3D6-400A-BB36-438CD89224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02" name="AutoShape 5">
          <a:extLst>
            <a:ext uri="{FF2B5EF4-FFF2-40B4-BE49-F238E27FC236}">
              <a16:creationId xmlns:a16="http://schemas.microsoft.com/office/drawing/2014/main" id="{B6FF9747-591E-4857-95B9-AC72DB9BCD3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953"/>
    <xdr:sp macro="" textlink="">
      <xdr:nvSpPr>
        <xdr:cNvPr id="2103" name="AutoShape 6">
          <a:extLst>
            <a:ext uri="{FF2B5EF4-FFF2-40B4-BE49-F238E27FC236}">
              <a16:creationId xmlns:a16="http://schemas.microsoft.com/office/drawing/2014/main" id="{6023544E-3C80-4F58-9A50-945401D9854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3067"/>
    <xdr:sp macro="" textlink="">
      <xdr:nvSpPr>
        <xdr:cNvPr id="2104" name="AutoShape 7">
          <a:extLst>
            <a:ext uri="{FF2B5EF4-FFF2-40B4-BE49-F238E27FC236}">
              <a16:creationId xmlns:a16="http://schemas.microsoft.com/office/drawing/2014/main" id="{322921E5-5FCF-4FCB-9715-CDC317C9873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3068"/>
    <xdr:sp macro="" textlink="">
      <xdr:nvSpPr>
        <xdr:cNvPr id="2105" name="AutoShape 8">
          <a:extLst>
            <a:ext uri="{FF2B5EF4-FFF2-40B4-BE49-F238E27FC236}">
              <a16:creationId xmlns:a16="http://schemas.microsoft.com/office/drawing/2014/main" id="{4D0E896E-45D2-4976-B191-F44A1716244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3068"/>
    <xdr:sp macro="" textlink="">
      <xdr:nvSpPr>
        <xdr:cNvPr id="2106" name="AutoShape 9">
          <a:extLst>
            <a:ext uri="{FF2B5EF4-FFF2-40B4-BE49-F238E27FC236}">
              <a16:creationId xmlns:a16="http://schemas.microsoft.com/office/drawing/2014/main" id="{0DE92565-2F9D-4A6C-BE45-1787647BAC4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1"/>
    <xdr:sp macro="" textlink="">
      <xdr:nvSpPr>
        <xdr:cNvPr id="2107" name="AutoShape 10">
          <a:extLst>
            <a:ext uri="{FF2B5EF4-FFF2-40B4-BE49-F238E27FC236}">
              <a16:creationId xmlns:a16="http://schemas.microsoft.com/office/drawing/2014/main" id="{68CFC091-8857-4996-80EE-2754DBED01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18996"/>
    <xdr:sp macro="" textlink="">
      <xdr:nvSpPr>
        <xdr:cNvPr id="2108" name="AutoShape 11">
          <a:extLst>
            <a:ext uri="{FF2B5EF4-FFF2-40B4-BE49-F238E27FC236}">
              <a16:creationId xmlns:a16="http://schemas.microsoft.com/office/drawing/2014/main" id="{5B1C1EE4-4916-41CC-868B-FEC6567C61A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1"/>
    <xdr:sp macro="" textlink="">
      <xdr:nvSpPr>
        <xdr:cNvPr id="2109" name="AutoShape 12">
          <a:extLst>
            <a:ext uri="{FF2B5EF4-FFF2-40B4-BE49-F238E27FC236}">
              <a16:creationId xmlns:a16="http://schemas.microsoft.com/office/drawing/2014/main" id="{B13A9D45-330A-4FC6-A30C-EBB2DE01CBD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3068"/>
    <xdr:sp macro="" textlink="">
      <xdr:nvSpPr>
        <xdr:cNvPr id="2110" name="AutoShape 14">
          <a:extLst>
            <a:ext uri="{FF2B5EF4-FFF2-40B4-BE49-F238E27FC236}">
              <a16:creationId xmlns:a16="http://schemas.microsoft.com/office/drawing/2014/main" id="{09886C9D-AFD6-43A3-85C1-65DD548A7C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18996"/>
    <xdr:sp macro="" textlink="">
      <xdr:nvSpPr>
        <xdr:cNvPr id="2111" name="AutoShape 15">
          <a:extLst>
            <a:ext uri="{FF2B5EF4-FFF2-40B4-BE49-F238E27FC236}">
              <a16:creationId xmlns:a16="http://schemas.microsoft.com/office/drawing/2014/main" id="{840B40D5-23FA-4CFA-95A2-AD3EFF965A1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12" name="AutoShape 16">
          <a:extLst>
            <a:ext uri="{FF2B5EF4-FFF2-40B4-BE49-F238E27FC236}">
              <a16:creationId xmlns:a16="http://schemas.microsoft.com/office/drawing/2014/main" id="{197FF6AC-883D-488C-AD01-74BF468112F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13" name="AutoShape 17">
          <a:extLst>
            <a:ext uri="{FF2B5EF4-FFF2-40B4-BE49-F238E27FC236}">
              <a16:creationId xmlns:a16="http://schemas.microsoft.com/office/drawing/2014/main" id="{9352979C-6C72-40FF-B561-670BA56E0A5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14" name="AutoShape 18">
          <a:extLst>
            <a:ext uri="{FF2B5EF4-FFF2-40B4-BE49-F238E27FC236}">
              <a16:creationId xmlns:a16="http://schemas.microsoft.com/office/drawing/2014/main" id="{9F2EC7FD-D598-4F5E-B115-EC022796BA9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21032"/>
    <xdr:sp macro="" textlink="">
      <xdr:nvSpPr>
        <xdr:cNvPr id="2115" name="AutoShape 19">
          <a:extLst>
            <a:ext uri="{FF2B5EF4-FFF2-40B4-BE49-F238E27FC236}">
              <a16:creationId xmlns:a16="http://schemas.microsoft.com/office/drawing/2014/main" id="{4E14411D-CCF4-4BD8-894F-9FCBE0D29D0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136" cy="619868"/>
    <xdr:sp macro="" textlink="">
      <xdr:nvSpPr>
        <xdr:cNvPr id="2116" name="AutoShape 21">
          <a:extLst>
            <a:ext uri="{FF2B5EF4-FFF2-40B4-BE49-F238E27FC236}">
              <a16:creationId xmlns:a16="http://schemas.microsoft.com/office/drawing/2014/main" id="{D3C31129-56D3-4A63-8371-8B15EF0B576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CABA30D0-076E-42F0-B7DA-768ACDCC7C4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18220"/>
    <xdr:sp macro="" textlink="">
      <xdr:nvSpPr>
        <xdr:cNvPr id="2118" name="AutoShape 2">
          <a:extLst>
            <a:ext uri="{FF2B5EF4-FFF2-40B4-BE49-F238E27FC236}">
              <a16:creationId xmlns:a16="http://schemas.microsoft.com/office/drawing/2014/main" id="{C6DA2178-31DB-4125-94C6-9E8AC7D4EC5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19" name="AutoShape 5">
          <a:extLst>
            <a:ext uri="{FF2B5EF4-FFF2-40B4-BE49-F238E27FC236}">
              <a16:creationId xmlns:a16="http://schemas.microsoft.com/office/drawing/2014/main" id="{2D2FD89E-F331-4321-BA97-EC4C470024E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953"/>
    <xdr:sp macro="" textlink="">
      <xdr:nvSpPr>
        <xdr:cNvPr id="2120" name="AutoShape 6">
          <a:extLst>
            <a:ext uri="{FF2B5EF4-FFF2-40B4-BE49-F238E27FC236}">
              <a16:creationId xmlns:a16="http://schemas.microsoft.com/office/drawing/2014/main" id="{962A1CE7-6D33-4D7E-8859-F26F7614F47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3067"/>
    <xdr:sp macro="" textlink="">
      <xdr:nvSpPr>
        <xdr:cNvPr id="2121" name="AutoShape 7">
          <a:extLst>
            <a:ext uri="{FF2B5EF4-FFF2-40B4-BE49-F238E27FC236}">
              <a16:creationId xmlns:a16="http://schemas.microsoft.com/office/drawing/2014/main" id="{3971E447-8558-4567-A1A8-A6A184B3D62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3068"/>
    <xdr:sp macro="" textlink="">
      <xdr:nvSpPr>
        <xdr:cNvPr id="2122" name="AutoShape 8">
          <a:extLst>
            <a:ext uri="{FF2B5EF4-FFF2-40B4-BE49-F238E27FC236}">
              <a16:creationId xmlns:a16="http://schemas.microsoft.com/office/drawing/2014/main" id="{44D5C576-DB82-474B-8AE8-93169378D79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3068"/>
    <xdr:sp macro="" textlink="">
      <xdr:nvSpPr>
        <xdr:cNvPr id="2123" name="AutoShape 9">
          <a:extLst>
            <a:ext uri="{FF2B5EF4-FFF2-40B4-BE49-F238E27FC236}">
              <a16:creationId xmlns:a16="http://schemas.microsoft.com/office/drawing/2014/main" id="{C21030D7-38CE-48AF-A13B-05F8B0AD25C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1"/>
    <xdr:sp macro="" textlink="">
      <xdr:nvSpPr>
        <xdr:cNvPr id="2124" name="AutoShape 10">
          <a:extLst>
            <a:ext uri="{FF2B5EF4-FFF2-40B4-BE49-F238E27FC236}">
              <a16:creationId xmlns:a16="http://schemas.microsoft.com/office/drawing/2014/main" id="{33FA8E0A-ADAE-46C6-9164-158DFF46D3D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18996"/>
    <xdr:sp macro="" textlink="">
      <xdr:nvSpPr>
        <xdr:cNvPr id="2125" name="AutoShape 11">
          <a:extLst>
            <a:ext uri="{FF2B5EF4-FFF2-40B4-BE49-F238E27FC236}">
              <a16:creationId xmlns:a16="http://schemas.microsoft.com/office/drawing/2014/main" id="{D0E73EF7-C77B-4FD0-BC40-2C37CE1F8A3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1"/>
    <xdr:sp macro="" textlink="">
      <xdr:nvSpPr>
        <xdr:cNvPr id="2126" name="AutoShape 12">
          <a:extLst>
            <a:ext uri="{FF2B5EF4-FFF2-40B4-BE49-F238E27FC236}">
              <a16:creationId xmlns:a16="http://schemas.microsoft.com/office/drawing/2014/main" id="{3A674371-AF50-4515-BB25-C2B164352A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3068"/>
    <xdr:sp macro="" textlink="">
      <xdr:nvSpPr>
        <xdr:cNvPr id="2127" name="AutoShape 14">
          <a:extLst>
            <a:ext uri="{FF2B5EF4-FFF2-40B4-BE49-F238E27FC236}">
              <a16:creationId xmlns:a16="http://schemas.microsoft.com/office/drawing/2014/main" id="{2FB7B8DE-E988-4C62-A512-048822FACA3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18996"/>
    <xdr:sp macro="" textlink="">
      <xdr:nvSpPr>
        <xdr:cNvPr id="2128" name="AutoShape 15">
          <a:extLst>
            <a:ext uri="{FF2B5EF4-FFF2-40B4-BE49-F238E27FC236}">
              <a16:creationId xmlns:a16="http://schemas.microsoft.com/office/drawing/2014/main" id="{611A9661-21DB-4F0D-9555-34C0F8F1310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29" name="AutoShape 16">
          <a:extLst>
            <a:ext uri="{FF2B5EF4-FFF2-40B4-BE49-F238E27FC236}">
              <a16:creationId xmlns:a16="http://schemas.microsoft.com/office/drawing/2014/main" id="{62583342-678E-427A-85EB-39570B5484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30" name="AutoShape 17">
          <a:extLst>
            <a:ext uri="{FF2B5EF4-FFF2-40B4-BE49-F238E27FC236}">
              <a16:creationId xmlns:a16="http://schemas.microsoft.com/office/drawing/2014/main" id="{F849AAD2-A528-41FC-915C-5BD1B7E740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31" name="AutoShape 18">
          <a:extLst>
            <a:ext uri="{FF2B5EF4-FFF2-40B4-BE49-F238E27FC236}">
              <a16:creationId xmlns:a16="http://schemas.microsoft.com/office/drawing/2014/main" id="{E15792EA-FACC-451F-92B8-682AD71FBDE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21032"/>
    <xdr:sp macro="" textlink="">
      <xdr:nvSpPr>
        <xdr:cNvPr id="2132" name="AutoShape 19">
          <a:extLst>
            <a:ext uri="{FF2B5EF4-FFF2-40B4-BE49-F238E27FC236}">
              <a16:creationId xmlns:a16="http://schemas.microsoft.com/office/drawing/2014/main" id="{EDC7D2BB-0E87-4776-9C81-6ADB2DB370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136" cy="619868"/>
    <xdr:sp macro="" textlink="">
      <xdr:nvSpPr>
        <xdr:cNvPr id="2133" name="AutoShape 21">
          <a:extLst>
            <a:ext uri="{FF2B5EF4-FFF2-40B4-BE49-F238E27FC236}">
              <a16:creationId xmlns:a16="http://schemas.microsoft.com/office/drawing/2014/main" id="{625EA0B4-781B-4549-BDBC-1F82C8EC5D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5DE02243-4A57-4C6A-B8AE-7B203CDDE1C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18220"/>
    <xdr:sp macro="" textlink="">
      <xdr:nvSpPr>
        <xdr:cNvPr id="2135" name="AutoShape 2">
          <a:extLst>
            <a:ext uri="{FF2B5EF4-FFF2-40B4-BE49-F238E27FC236}">
              <a16:creationId xmlns:a16="http://schemas.microsoft.com/office/drawing/2014/main" id="{71D367C5-54E2-41A8-858A-A8EF82E0A4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36" name="AutoShape 5">
          <a:extLst>
            <a:ext uri="{FF2B5EF4-FFF2-40B4-BE49-F238E27FC236}">
              <a16:creationId xmlns:a16="http://schemas.microsoft.com/office/drawing/2014/main" id="{1A3AD22F-BBD4-4C74-A852-1ACB0501FBB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953"/>
    <xdr:sp macro="" textlink="">
      <xdr:nvSpPr>
        <xdr:cNvPr id="2137" name="AutoShape 6">
          <a:extLst>
            <a:ext uri="{FF2B5EF4-FFF2-40B4-BE49-F238E27FC236}">
              <a16:creationId xmlns:a16="http://schemas.microsoft.com/office/drawing/2014/main" id="{6C51419D-B4E2-48E1-8F5F-76A5D68327E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3067"/>
    <xdr:sp macro="" textlink="">
      <xdr:nvSpPr>
        <xdr:cNvPr id="2138" name="AutoShape 7">
          <a:extLst>
            <a:ext uri="{FF2B5EF4-FFF2-40B4-BE49-F238E27FC236}">
              <a16:creationId xmlns:a16="http://schemas.microsoft.com/office/drawing/2014/main" id="{7270D786-4747-445A-B0C5-7F4D055C072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3068"/>
    <xdr:sp macro="" textlink="">
      <xdr:nvSpPr>
        <xdr:cNvPr id="2139" name="AutoShape 8">
          <a:extLst>
            <a:ext uri="{FF2B5EF4-FFF2-40B4-BE49-F238E27FC236}">
              <a16:creationId xmlns:a16="http://schemas.microsoft.com/office/drawing/2014/main" id="{4263BFBA-E1E2-4221-B2D2-5B16D083F4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3068"/>
    <xdr:sp macro="" textlink="">
      <xdr:nvSpPr>
        <xdr:cNvPr id="2140" name="AutoShape 9">
          <a:extLst>
            <a:ext uri="{FF2B5EF4-FFF2-40B4-BE49-F238E27FC236}">
              <a16:creationId xmlns:a16="http://schemas.microsoft.com/office/drawing/2014/main" id="{73EE19E9-9A79-4269-9421-7E5B9D30F96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1"/>
    <xdr:sp macro="" textlink="">
      <xdr:nvSpPr>
        <xdr:cNvPr id="2141" name="AutoShape 10">
          <a:extLst>
            <a:ext uri="{FF2B5EF4-FFF2-40B4-BE49-F238E27FC236}">
              <a16:creationId xmlns:a16="http://schemas.microsoft.com/office/drawing/2014/main" id="{0BCD885C-0967-403C-AEE7-8A43D0D321E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18996"/>
    <xdr:sp macro="" textlink="">
      <xdr:nvSpPr>
        <xdr:cNvPr id="2142" name="AutoShape 11">
          <a:extLst>
            <a:ext uri="{FF2B5EF4-FFF2-40B4-BE49-F238E27FC236}">
              <a16:creationId xmlns:a16="http://schemas.microsoft.com/office/drawing/2014/main" id="{616E8D8E-8F6A-4664-906F-2049F9378E9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1"/>
    <xdr:sp macro="" textlink="">
      <xdr:nvSpPr>
        <xdr:cNvPr id="2143" name="AutoShape 12">
          <a:extLst>
            <a:ext uri="{FF2B5EF4-FFF2-40B4-BE49-F238E27FC236}">
              <a16:creationId xmlns:a16="http://schemas.microsoft.com/office/drawing/2014/main" id="{5A50504D-61A7-4446-B4CB-04EDDC7B99F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3068"/>
    <xdr:sp macro="" textlink="">
      <xdr:nvSpPr>
        <xdr:cNvPr id="2144" name="AutoShape 14">
          <a:extLst>
            <a:ext uri="{FF2B5EF4-FFF2-40B4-BE49-F238E27FC236}">
              <a16:creationId xmlns:a16="http://schemas.microsoft.com/office/drawing/2014/main" id="{0F9E7CDA-B380-4926-ACDB-6B5A0DCF82C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18996"/>
    <xdr:sp macro="" textlink="">
      <xdr:nvSpPr>
        <xdr:cNvPr id="2145" name="AutoShape 15">
          <a:extLst>
            <a:ext uri="{FF2B5EF4-FFF2-40B4-BE49-F238E27FC236}">
              <a16:creationId xmlns:a16="http://schemas.microsoft.com/office/drawing/2014/main" id="{C3CB0236-E2A5-4DBF-BCDC-EE14AA6EB7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46" name="AutoShape 16">
          <a:extLst>
            <a:ext uri="{FF2B5EF4-FFF2-40B4-BE49-F238E27FC236}">
              <a16:creationId xmlns:a16="http://schemas.microsoft.com/office/drawing/2014/main" id="{C40488CC-5476-4EEC-A38E-EC67D734985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47" name="AutoShape 17">
          <a:extLst>
            <a:ext uri="{FF2B5EF4-FFF2-40B4-BE49-F238E27FC236}">
              <a16:creationId xmlns:a16="http://schemas.microsoft.com/office/drawing/2014/main" id="{4DC2DBB2-253B-4FC5-A9B2-E832D21494D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48" name="AutoShape 18">
          <a:extLst>
            <a:ext uri="{FF2B5EF4-FFF2-40B4-BE49-F238E27FC236}">
              <a16:creationId xmlns:a16="http://schemas.microsoft.com/office/drawing/2014/main" id="{9FCCED8D-2361-4D86-9FE9-7EA5466BDAA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21032"/>
    <xdr:sp macro="" textlink="">
      <xdr:nvSpPr>
        <xdr:cNvPr id="2149" name="AutoShape 19">
          <a:extLst>
            <a:ext uri="{FF2B5EF4-FFF2-40B4-BE49-F238E27FC236}">
              <a16:creationId xmlns:a16="http://schemas.microsoft.com/office/drawing/2014/main" id="{C53CD89D-F916-4042-9067-DE04DA56688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136" cy="619868"/>
    <xdr:sp macro="" textlink="">
      <xdr:nvSpPr>
        <xdr:cNvPr id="2150" name="AutoShape 21">
          <a:extLst>
            <a:ext uri="{FF2B5EF4-FFF2-40B4-BE49-F238E27FC236}">
              <a16:creationId xmlns:a16="http://schemas.microsoft.com/office/drawing/2014/main" id="{271C0C17-848F-4A75-8828-EF3329D6552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B9ABC576-D578-4348-AD16-11AD9D9458E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18220"/>
    <xdr:sp macro="" textlink="">
      <xdr:nvSpPr>
        <xdr:cNvPr id="2152" name="AutoShape 2">
          <a:extLst>
            <a:ext uri="{FF2B5EF4-FFF2-40B4-BE49-F238E27FC236}">
              <a16:creationId xmlns:a16="http://schemas.microsoft.com/office/drawing/2014/main" id="{0E003892-97B4-4C2E-9F90-7E1C4C3BC5D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53" name="AutoShape 5">
          <a:extLst>
            <a:ext uri="{FF2B5EF4-FFF2-40B4-BE49-F238E27FC236}">
              <a16:creationId xmlns:a16="http://schemas.microsoft.com/office/drawing/2014/main" id="{3988D23C-7BA2-4C34-8EA9-E1FC2046F1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953"/>
    <xdr:sp macro="" textlink="">
      <xdr:nvSpPr>
        <xdr:cNvPr id="2154" name="AutoShape 6">
          <a:extLst>
            <a:ext uri="{FF2B5EF4-FFF2-40B4-BE49-F238E27FC236}">
              <a16:creationId xmlns:a16="http://schemas.microsoft.com/office/drawing/2014/main" id="{BEB9E15F-84C4-4821-9FFE-49F2C72F416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3067"/>
    <xdr:sp macro="" textlink="">
      <xdr:nvSpPr>
        <xdr:cNvPr id="2155" name="AutoShape 7">
          <a:extLst>
            <a:ext uri="{FF2B5EF4-FFF2-40B4-BE49-F238E27FC236}">
              <a16:creationId xmlns:a16="http://schemas.microsoft.com/office/drawing/2014/main" id="{2C05B1ED-5FFA-47F6-818D-A1476A0384C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3068"/>
    <xdr:sp macro="" textlink="">
      <xdr:nvSpPr>
        <xdr:cNvPr id="2156" name="AutoShape 8">
          <a:extLst>
            <a:ext uri="{FF2B5EF4-FFF2-40B4-BE49-F238E27FC236}">
              <a16:creationId xmlns:a16="http://schemas.microsoft.com/office/drawing/2014/main" id="{B2B973FC-74D3-44E4-A3E7-24BD1803E79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3068"/>
    <xdr:sp macro="" textlink="">
      <xdr:nvSpPr>
        <xdr:cNvPr id="2157" name="AutoShape 9">
          <a:extLst>
            <a:ext uri="{FF2B5EF4-FFF2-40B4-BE49-F238E27FC236}">
              <a16:creationId xmlns:a16="http://schemas.microsoft.com/office/drawing/2014/main" id="{6F12175A-8F0F-4A31-840D-9B8EF540E11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1"/>
    <xdr:sp macro="" textlink="">
      <xdr:nvSpPr>
        <xdr:cNvPr id="2158" name="AutoShape 10">
          <a:extLst>
            <a:ext uri="{FF2B5EF4-FFF2-40B4-BE49-F238E27FC236}">
              <a16:creationId xmlns:a16="http://schemas.microsoft.com/office/drawing/2014/main" id="{EFBC7C9E-55C1-4356-9F87-255ED0FAFA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18996"/>
    <xdr:sp macro="" textlink="">
      <xdr:nvSpPr>
        <xdr:cNvPr id="2159" name="AutoShape 11">
          <a:extLst>
            <a:ext uri="{FF2B5EF4-FFF2-40B4-BE49-F238E27FC236}">
              <a16:creationId xmlns:a16="http://schemas.microsoft.com/office/drawing/2014/main" id="{173EF005-12E3-4787-95E2-923BC92F781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1"/>
    <xdr:sp macro="" textlink="">
      <xdr:nvSpPr>
        <xdr:cNvPr id="2160" name="AutoShape 12">
          <a:extLst>
            <a:ext uri="{FF2B5EF4-FFF2-40B4-BE49-F238E27FC236}">
              <a16:creationId xmlns:a16="http://schemas.microsoft.com/office/drawing/2014/main" id="{F2B88E58-117F-48A5-BC56-CC2FD9BFE70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3068"/>
    <xdr:sp macro="" textlink="">
      <xdr:nvSpPr>
        <xdr:cNvPr id="2161" name="AutoShape 14">
          <a:extLst>
            <a:ext uri="{FF2B5EF4-FFF2-40B4-BE49-F238E27FC236}">
              <a16:creationId xmlns:a16="http://schemas.microsoft.com/office/drawing/2014/main" id="{DC6FC7A1-8DD3-4390-8215-23F566C91B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18996"/>
    <xdr:sp macro="" textlink="">
      <xdr:nvSpPr>
        <xdr:cNvPr id="2162" name="AutoShape 15">
          <a:extLst>
            <a:ext uri="{FF2B5EF4-FFF2-40B4-BE49-F238E27FC236}">
              <a16:creationId xmlns:a16="http://schemas.microsoft.com/office/drawing/2014/main" id="{6EF59EB0-5DD5-446D-92F2-A70A368991D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63" name="AutoShape 16">
          <a:extLst>
            <a:ext uri="{FF2B5EF4-FFF2-40B4-BE49-F238E27FC236}">
              <a16:creationId xmlns:a16="http://schemas.microsoft.com/office/drawing/2014/main" id="{3543462F-75E5-4CA5-A3C0-A16F1FA344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64" name="AutoShape 17">
          <a:extLst>
            <a:ext uri="{FF2B5EF4-FFF2-40B4-BE49-F238E27FC236}">
              <a16:creationId xmlns:a16="http://schemas.microsoft.com/office/drawing/2014/main" id="{3A070121-C4B4-4243-A1BB-0EBCED8442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65" name="AutoShape 18">
          <a:extLst>
            <a:ext uri="{FF2B5EF4-FFF2-40B4-BE49-F238E27FC236}">
              <a16:creationId xmlns:a16="http://schemas.microsoft.com/office/drawing/2014/main" id="{48EDB0FA-0031-40EE-8640-C4BEA76C05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21032"/>
    <xdr:sp macro="" textlink="">
      <xdr:nvSpPr>
        <xdr:cNvPr id="2166" name="AutoShape 19">
          <a:extLst>
            <a:ext uri="{FF2B5EF4-FFF2-40B4-BE49-F238E27FC236}">
              <a16:creationId xmlns:a16="http://schemas.microsoft.com/office/drawing/2014/main" id="{3CD3AD30-4176-4974-A6FC-60F974E2155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136" cy="619868"/>
    <xdr:sp macro="" textlink="">
      <xdr:nvSpPr>
        <xdr:cNvPr id="2167" name="AutoShape 21">
          <a:extLst>
            <a:ext uri="{FF2B5EF4-FFF2-40B4-BE49-F238E27FC236}">
              <a16:creationId xmlns:a16="http://schemas.microsoft.com/office/drawing/2014/main" id="{D9612A14-A165-4A99-93D0-842D5E38E2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0FA7CDE5-2E51-4204-9733-E7E16E8E785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18220"/>
    <xdr:sp macro="" textlink="">
      <xdr:nvSpPr>
        <xdr:cNvPr id="2169" name="AutoShape 2">
          <a:extLst>
            <a:ext uri="{FF2B5EF4-FFF2-40B4-BE49-F238E27FC236}">
              <a16:creationId xmlns:a16="http://schemas.microsoft.com/office/drawing/2014/main" id="{18EBEA73-BE70-4349-9C3E-1D4930CB160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70" name="AutoShape 5">
          <a:extLst>
            <a:ext uri="{FF2B5EF4-FFF2-40B4-BE49-F238E27FC236}">
              <a16:creationId xmlns:a16="http://schemas.microsoft.com/office/drawing/2014/main" id="{34055C65-0E46-414F-9EF1-44D4FD2B45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953"/>
    <xdr:sp macro="" textlink="">
      <xdr:nvSpPr>
        <xdr:cNvPr id="2171" name="AutoShape 6">
          <a:extLst>
            <a:ext uri="{FF2B5EF4-FFF2-40B4-BE49-F238E27FC236}">
              <a16:creationId xmlns:a16="http://schemas.microsoft.com/office/drawing/2014/main" id="{D60CF58E-684D-4FA5-BF96-66B1C9CD687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3067"/>
    <xdr:sp macro="" textlink="">
      <xdr:nvSpPr>
        <xdr:cNvPr id="2172" name="AutoShape 7">
          <a:extLst>
            <a:ext uri="{FF2B5EF4-FFF2-40B4-BE49-F238E27FC236}">
              <a16:creationId xmlns:a16="http://schemas.microsoft.com/office/drawing/2014/main" id="{93F73217-F3D5-4650-8FC3-971FA71F7A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3068"/>
    <xdr:sp macro="" textlink="">
      <xdr:nvSpPr>
        <xdr:cNvPr id="2173" name="AutoShape 8">
          <a:extLst>
            <a:ext uri="{FF2B5EF4-FFF2-40B4-BE49-F238E27FC236}">
              <a16:creationId xmlns:a16="http://schemas.microsoft.com/office/drawing/2014/main" id="{7ABB54AB-E33E-4B3E-91BC-21386F8D30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3068"/>
    <xdr:sp macro="" textlink="">
      <xdr:nvSpPr>
        <xdr:cNvPr id="2174" name="AutoShape 9">
          <a:extLst>
            <a:ext uri="{FF2B5EF4-FFF2-40B4-BE49-F238E27FC236}">
              <a16:creationId xmlns:a16="http://schemas.microsoft.com/office/drawing/2014/main" id="{62B793D9-0570-4AA6-BD01-21C3CBADB58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1"/>
    <xdr:sp macro="" textlink="">
      <xdr:nvSpPr>
        <xdr:cNvPr id="2175" name="AutoShape 10">
          <a:extLst>
            <a:ext uri="{FF2B5EF4-FFF2-40B4-BE49-F238E27FC236}">
              <a16:creationId xmlns:a16="http://schemas.microsoft.com/office/drawing/2014/main" id="{ABCADACE-ABAD-4FAE-A983-0C3D92DC82F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18996"/>
    <xdr:sp macro="" textlink="">
      <xdr:nvSpPr>
        <xdr:cNvPr id="2176" name="AutoShape 11">
          <a:extLst>
            <a:ext uri="{FF2B5EF4-FFF2-40B4-BE49-F238E27FC236}">
              <a16:creationId xmlns:a16="http://schemas.microsoft.com/office/drawing/2014/main" id="{6BEF4A09-EBBD-4BA6-9F54-B7928EE74BB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1"/>
    <xdr:sp macro="" textlink="">
      <xdr:nvSpPr>
        <xdr:cNvPr id="2177" name="AutoShape 12">
          <a:extLst>
            <a:ext uri="{FF2B5EF4-FFF2-40B4-BE49-F238E27FC236}">
              <a16:creationId xmlns:a16="http://schemas.microsoft.com/office/drawing/2014/main" id="{D6F7714A-FA65-42A9-82B7-73CCD94B66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3068"/>
    <xdr:sp macro="" textlink="">
      <xdr:nvSpPr>
        <xdr:cNvPr id="2178" name="AutoShape 14">
          <a:extLst>
            <a:ext uri="{FF2B5EF4-FFF2-40B4-BE49-F238E27FC236}">
              <a16:creationId xmlns:a16="http://schemas.microsoft.com/office/drawing/2014/main" id="{789F9D7F-9D75-444D-AD3E-56B0FC26DA5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18996"/>
    <xdr:sp macro="" textlink="">
      <xdr:nvSpPr>
        <xdr:cNvPr id="2179" name="AutoShape 15">
          <a:extLst>
            <a:ext uri="{FF2B5EF4-FFF2-40B4-BE49-F238E27FC236}">
              <a16:creationId xmlns:a16="http://schemas.microsoft.com/office/drawing/2014/main" id="{662A5511-BA5C-483C-91DC-258698AA29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80" name="AutoShape 16">
          <a:extLst>
            <a:ext uri="{FF2B5EF4-FFF2-40B4-BE49-F238E27FC236}">
              <a16:creationId xmlns:a16="http://schemas.microsoft.com/office/drawing/2014/main" id="{742A5C9B-D201-45B4-ADA8-EB39A0E812E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81" name="AutoShape 17">
          <a:extLst>
            <a:ext uri="{FF2B5EF4-FFF2-40B4-BE49-F238E27FC236}">
              <a16:creationId xmlns:a16="http://schemas.microsoft.com/office/drawing/2014/main" id="{DBB4D133-9310-46B4-AAAA-05A719CEC65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82" name="AutoShape 18">
          <a:extLst>
            <a:ext uri="{FF2B5EF4-FFF2-40B4-BE49-F238E27FC236}">
              <a16:creationId xmlns:a16="http://schemas.microsoft.com/office/drawing/2014/main" id="{8F3350A4-EC85-47D8-8D31-7F4CC5A0A5D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21032"/>
    <xdr:sp macro="" textlink="">
      <xdr:nvSpPr>
        <xdr:cNvPr id="2183" name="AutoShape 19">
          <a:extLst>
            <a:ext uri="{FF2B5EF4-FFF2-40B4-BE49-F238E27FC236}">
              <a16:creationId xmlns:a16="http://schemas.microsoft.com/office/drawing/2014/main" id="{CCF8D4D6-9D75-4679-B07B-63F2C6F5791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136" cy="619868"/>
    <xdr:sp macro="" textlink="">
      <xdr:nvSpPr>
        <xdr:cNvPr id="2184" name="AutoShape 21">
          <a:extLst>
            <a:ext uri="{FF2B5EF4-FFF2-40B4-BE49-F238E27FC236}">
              <a16:creationId xmlns:a16="http://schemas.microsoft.com/office/drawing/2014/main" id="{DDA82466-6FE5-41FD-AB8B-41042F12D90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53E0F022-3A03-4AD6-8363-9FF4E66F94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18220"/>
    <xdr:sp macro="" textlink="">
      <xdr:nvSpPr>
        <xdr:cNvPr id="2186" name="AutoShape 2">
          <a:extLst>
            <a:ext uri="{FF2B5EF4-FFF2-40B4-BE49-F238E27FC236}">
              <a16:creationId xmlns:a16="http://schemas.microsoft.com/office/drawing/2014/main" id="{224FAB5C-91E0-4575-9CB9-126F893A64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87" name="AutoShape 5">
          <a:extLst>
            <a:ext uri="{FF2B5EF4-FFF2-40B4-BE49-F238E27FC236}">
              <a16:creationId xmlns:a16="http://schemas.microsoft.com/office/drawing/2014/main" id="{AE3379B2-0975-4581-9818-284B7A7F1C4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953"/>
    <xdr:sp macro="" textlink="">
      <xdr:nvSpPr>
        <xdr:cNvPr id="2188" name="AutoShape 6">
          <a:extLst>
            <a:ext uri="{FF2B5EF4-FFF2-40B4-BE49-F238E27FC236}">
              <a16:creationId xmlns:a16="http://schemas.microsoft.com/office/drawing/2014/main" id="{A3B0B7DA-2B3A-4FC2-AAED-E8726135EC4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3067"/>
    <xdr:sp macro="" textlink="">
      <xdr:nvSpPr>
        <xdr:cNvPr id="2189" name="AutoShape 7">
          <a:extLst>
            <a:ext uri="{FF2B5EF4-FFF2-40B4-BE49-F238E27FC236}">
              <a16:creationId xmlns:a16="http://schemas.microsoft.com/office/drawing/2014/main" id="{4FE804F4-AD8E-4C55-B1C9-9863BC5051D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3068"/>
    <xdr:sp macro="" textlink="">
      <xdr:nvSpPr>
        <xdr:cNvPr id="2190" name="AutoShape 8">
          <a:extLst>
            <a:ext uri="{FF2B5EF4-FFF2-40B4-BE49-F238E27FC236}">
              <a16:creationId xmlns:a16="http://schemas.microsoft.com/office/drawing/2014/main" id="{7EC5F9EB-1699-4C62-ABE8-E89CDAE542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3068"/>
    <xdr:sp macro="" textlink="">
      <xdr:nvSpPr>
        <xdr:cNvPr id="2191" name="AutoShape 9">
          <a:extLst>
            <a:ext uri="{FF2B5EF4-FFF2-40B4-BE49-F238E27FC236}">
              <a16:creationId xmlns:a16="http://schemas.microsoft.com/office/drawing/2014/main" id="{4AC2E13A-BF51-4780-B5FB-A3D2482547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1"/>
    <xdr:sp macro="" textlink="">
      <xdr:nvSpPr>
        <xdr:cNvPr id="2192" name="AutoShape 10">
          <a:extLst>
            <a:ext uri="{FF2B5EF4-FFF2-40B4-BE49-F238E27FC236}">
              <a16:creationId xmlns:a16="http://schemas.microsoft.com/office/drawing/2014/main" id="{DF8BA27C-799C-49EE-8964-E80B170796F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18996"/>
    <xdr:sp macro="" textlink="">
      <xdr:nvSpPr>
        <xdr:cNvPr id="2193" name="AutoShape 11">
          <a:extLst>
            <a:ext uri="{FF2B5EF4-FFF2-40B4-BE49-F238E27FC236}">
              <a16:creationId xmlns:a16="http://schemas.microsoft.com/office/drawing/2014/main" id="{FC1D1D0C-B01D-425B-A339-7AEA2E4A6BF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1"/>
    <xdr:sp macro="" textlink="">
      <xdr:nvSpPr>
        <xdr:cNvPr id="2194" name="AutoShape 12">
          <a:extLst>
            <a:ext uri="{FF2B5EF4-FFF2-40B4-BE49-F238E27FC236}">
              <a16:creationId xmlns:a16="http://schemas.microsoft.com/office/drawing/2014/main" id="{C1D6B989-1DDA-4260-9528-4CE7C8D46F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3068"/>
    <xdr:sp macro="" textlink="">
      <xdr:nvSpPr>
        <xdr:cNvPr id="2195" name="AutoShape 14">
          <a:extLst>
            <a:ext uri="{FF2B5EF4-FFF2-40B4-BE49-F238E27FC236}">
              <a16:creationId xmlns:a16="http://schemas.microsoft.com/office/drawing/2014/main" id="{7CC34898-96F2-48F3-9FBA-44BAD1A6F7E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18996"/>
    <xdr:sp macro="" textlink="">
      <xdr:nvSpPr>
        <xdr:cNvPr id="2196" name="AutoShape 15">
          <a:extLst>
            <a:ext uri="{FF2B5EF4-FFF2-40B4-BE49-F238E27FC236}">
              <a16:creationId xmlns:a16="http://schemas.microsoft.com/office/drawing/2014/main" id="{97D93D3F-EAB5-4120-8445-4A25B03497E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97" name="AutoShape 16">
          <a:extLst>
            <a:ext uri="{FF2B5EF4-FFF2-40B4-BE49-F238E27FC236}">
              <a16:creationId xmlns:a16="http://schemas.microsoft.com/office/drawing/2014/main" id="{F2E0BB5F-EB25-40E9-91CB-DCF2FC66415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98" name="AutoShape 17">
          <a:extLst>
            <a:ext uri="{FF2B5EF4-FFF2-40B4-BE49-F238E27FC236}">
              <a16:creationId xmlns:a16="http://schemas.microsoft.com/office/drawing/2014/main" id="{3051E2C6-E8CB-408F-BAD4-5582FFAFF3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199" name="AutoShape 18">
          <a:extLst>
            <a:ext uri="{FF2B5EF4-FFF2-40B4-BE49-F238E27FC236}">
              <a16:creationId xmlns:a16="http://schemas.microsoft.com/office/drawing/2014/main" id="{AD8EBE2D-C14A-4569-8B38-D44A0BA3A7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21032"/>
    <xdr:sp macro="" textlink="">
      <xdr:nvSpPr>
        <xdr:cNvPr id="2200" name="AutoShape 19">
          <a:extLst>
            <a:ext uri="{FF2B5EF4-FFF2-40B4-BE49-F238E27FC236}">
              <a16:creationId xmlns:a16="http://schemas.microsoft.com/office/drawing/2014/main" id="{91BAB943-55C5-4B46-8A70-215607389D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136" cy="619868"/>
    <xdr:sp macro="" textlink="">
      <xdr:nvSpPr>
        <xdr:cNvPr id="2201" name="AutoShape 21">
          <a:extLst>
            <a:ext uri="{FF2B5EF4-FFF2-40B4-BE49-F238E27FC236}">
              <a16:creationId xmlns:a16="http://schemas.microsoft.com/office/drawing/2014/main" id="{99DADCB6-605D-4895-9AD9-ADCCC84531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A4571E65-BA22-493E-9AFC-1644455393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18220"/>
    <xdr:sp macro="" textlink="">
      <xdr:nvSpPr>
        <xdr:cNvPr id="2203" name="AutoShape 2">
          <a:extLst>
            <a:ext uri="{FF2B5EF4-FFF2-40B4-BE49-F238E27FC236}">
              <a16:creationId xmlns:a16="http://schemas.microsoft.com/office/drawing/2014/main" id="{EDAF3AB7-CF1D-4533-A366-C806552C704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04" name="AutoShape 5">
          <a:extLst>
            <a:ext uri="{FF2B5EF4-FFF2-40B4-BE49-F238E27FC236}">
              <a16:creationId xmlns:a16="http://schemas.microsoft.com/office/drawing/2014/main" id="{C278CBAD-BD4B-4BC1-A2A8-E329444AA2B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953"/>
    <xdr:sp macro="" textlink="">
      <xdr:nvSpPr>
        <xdr:cNvPr id="2205" name="AutoShape 6">
          <a:extLst>
            <a:ext uri="{FF2B5EF4-FFF2-40B4-BE49-F238E27FC236}">
              <a16:creationId xmlns:a16="http://schemas.microsoft.com/office/drawing/2014/main" id="{D143ED4A-711A-4D31-AC13-FA60E9E5279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3067"/>
    <xdr:sp macro="" textlink="">
      <xdr:nvSpPr>
        <xdr:cNvPr id="2206" name="AutoShape 7">
          <a:extLst>
            <a:ext uri="{FF2B5EF4-FFF2-40B4-BE49-F238E27FC236}">
              <a16:creationId xmlns:a16="http://schemas.microsoft.com/office/drawing/2014/main" id="{316AEB9A-3E99-4979-9BB9-B0A6046010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3068"/>
    <xdr:sp macro="" textlink="">
      <xdr:nvSpPr>
        <xdr:cNvPr id="2207" name="AutoShape 8">
          <a:extLst>
            <a:ext uri="{FF2B5EF4-FFF2-40B4-BE49-F238E27FC236}">
              <a16:creationId xmlns:a16="http://schemas.microsoft.com/office/drawing/2014/main" id="{A201E223-E80F-4670-A533-7F629CC8B61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3068"/>
    <xdr:sp macro="" textlink="">
      <xdr:nvSpPr>
        <xdr:cNvPr id="2208" name="AutoShape 9">
          <a:extLst>
            <a:ext uri="{FF2B5EF4-FFF2-40B4-BE49-F238E27FC236}">
              <a16:creationId xmlns:a16="http://schemas.microsoft.com/office/drawing/2014/main" id="{D0CBE946-EF9A-4A81-825D-473056F1F7A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1"/>
    <xdr:sp macro="" textlink="">
      <xdr:nvSpPr>
        <xdr:cNvPr id="2209" name="AutoShape 10">
          <a:extLst>
            <a:ext uri="{FF2B5EF4-FFF2-40B4-BE49-F238E27FC236}">
              <a16:creationId xmlns:a16="http://schemas.microsoft.com/office/drawing/2014/main" id="{AF3208B1-3498-4698-A27D-34BC5E6136D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18996"/>
    <xdr:sp macro="" textlink="">
      <xdr:nvSpPr>
        <xdr:cNvPr id="2210" name="AutoShape 11">
          <a:extLst>
            <a:ext uri="{FF2B5EF4-FFF2-40B4-BE49-F238E27FC236}">
              <a16:creationId xmlns:a16="http://schemas.microsoft.com/office/drawing/2014/main" id="{AE95B2A1-5E4D-4B44-A983-8A765565B6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1"/>
    <xdr:sp macro="" textlink="">
      <xdr:nvSpPr>
        <xdr:cNvPr id="2211" name="AutoShape 12">
          <a:extLst>
            <a:ext uri="{FF2B5EF4-FFF2-40B4-BE49-F238E27FC236}">
              <a16:creationId xmlns:a16="http://schemas.microsoft.com/office/drawing/2014/main" id="{98306247-6541-4C9A-9158-C79FE3FC640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3068"/>
    <xdr:sp macro="" textlink="">
      <xdr:nvSpPr>
        <xdr:cNvPr id="2212" name="AutoShape 14">
          <a:extLst>
            <a:ext uri="{FF2B5EF4-FFF2-40B4-BE49-F238E27FC236}">
              <a16:creationId xmlns:a16="http://schemas.microsoft.com/office/drawing/2014/main" id="{CF26ED9E-0C91-4A61-971F-81A9D46821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18996"/>
    <xdr:sp macro="" textlink="">
      <xdr:nvSpPr>
        <xdr:cNvPr id="2213" name="AutoShape 15">
          <a:extLst>
            <a:ext uri="{FF2B5EF4-FFF2-40B4-BE49-F238E27FC236}">
              <a16:creationId xmlns:a16="http://schemas.microsoft.com/office/drawing/2014/main" id="{9D4D04B0-4277-48B2-BBA0-0989E3A399D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14" name="AutoShape 16">
          <a:extLst>
            <a:ext uri="{FF2B5EF4-FFF2-40B4-BE49-F238E27FC236}">
              <a16:creationId xmlns:a16="http://schemas.microsoft.com/office/drawing/2014/main" id="{450688CD-6943-4A4E-B70A-2BAB270149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15" name="AutoShape 17">
          <a:extLst>
            <a:ext uri="{FF2B5EF4-FFF2-40B4-BE49-F238E27FC236}">
              <a16:creationId xmlns:a16="http://schemas.microsoft.com/office/drawing/2014/main" id="{19A89B64-40FD-4A03-BF55-99C6979C18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16" name="AutoShape 18">
          <a:extLst>
            <a:ext uri="{FF2B5EF4-FFF2-40B4-BE49-F238E27FC236}">
              <a16:creationId xmlns:a16="http://schemas.microsoft.com/office/drawing/2014/main" id="{898DEB22-CC39-4173-9A0E-650B0D88F41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21032"/>
    <xdr:sp macro="" textlink="">
      <xdr:nvSpPr>
        <xdr:cNvPr id="2217" name="AutoShape 19">
          <a:extLst>
            <a:ext uri="{FF2B5EF4-FFF2-40B4-BE49-F238E27FC236}">
              <a16:creationId xmlns:a16="http://schemas.microsoft.com/office/drawing/2014/main" id="{EEF913B2-2DD2-4C2C-8EAB-772AEF8C434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136" cy="619868"/>
    <xdr:sp macro="" textlink="">
      <xdr:nvSpPr>
        <xdr:cNvPr id="2218" name="AutoShape 21">
          <a:extLst>
            <a:ext uri="{FF2B5EF4-FFF2-40B4-BE49-F238E27FC236}">
              <a16:creationId xmlns:a16="http://schemas.microsoft.com/office/drawing/2014/main" id="{FBE62F47-DFE7-4802-9581-C1B3B1BBB3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6E3CE00B-12C7-468D-AE28-2898742A9DE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18220"/>
    <xdr:sp macro="" textlink="">
      <xdr:nvSpPr>
        <xdr:cNvPr id="2220" name="AutoShape 2">
          <a:extLst>
            <a:ext uri="{FF2B5EF4-FFF2-40B4-BE49-F238E27FC236}">
              <a16:creationId xmlns:a16="http://schemas.microsoft.com/office/drawing/2014/main" id="{2DCB008E-0FC6-439B-BB00-050DAC463FF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21" name="AutoShape 5">
          <a:extLst>
            <a:ext uri="{FF2B5EF4-FFF2-40B4-BE49-F238E27FC236}">
              <a16:creationId xmlns:a16="http://schemas.microsoft.com/office/drawing/2014/main" id="{A361534E-3336-4D70-8D42-EE00298503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953"/>
    <xdr:sp macro="" textlink="">
      <xdr:nvSpPr>
        <xdr:cNvPr id="2222" name="AutoShape 6">
          <a:extLst>
            <a:ext uri="{FF2B5EF4-FFF2-40B4-BE49-F238E27FC236}">
              <a16:creationId xmlns:a16="http://schemas.microsoft.com/office/drawing/2014/main" id="{02B4F315-5AA7-4898-87DC-26A9F8BF541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3067"/>
    <xdr:sp macro="" textlink="">
      <xdr:nvSpPr>
        <xdr:cNvPr id="2223" name="AutoShape 7">
          <a:extLst>
            <a:ext uri="{FF2B5EF4-FFF2-40B4-BE49-F238E27FC236}">
              <a16:creationId xmlns:a16="http://schemas.microsoft.com/office/drawing/2014/main" id="{96447ED6-6B9F-4D4E-A223-85B93FDC711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3068"/>
    <xdr:sp macro="" textlink="">
      <xdr:nvSpPr>
        <xdr:cNvPr id="2224" name="AutoShape 8">
          <a:extLst>
            <a:ext uri="{FF2B5EF4-FFF2-40B4-BE49-F238E27FC236}">
              <a16:creationId xmlns:a16="http://schemas.microsoft.com/office/drawing/2014/main" id="{153698CB-E482-4496-9D35-16BF23C1297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3068"/>
    <xdr:sp macro="" textlink="">
      <xdr:nvSpPr>
        <xdr:cNvPr id="2225" name="AutoShape 9">
          <a:extLst>
            <a:ext uri="{FF2B5EF4-FFF2-40B4-BE49-F238E27FC236}">
              <a16:creationId xmlns:a16="http://schemas.microsoft.com/office/drawing/2014/main" id="{F6F9D0D8-66DC-498F-8272-94A3DE0B2A1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1"/>
    <xdr:sp macro="" textlink="">
      <xdr:nvSpPr>
        <xdr:cNvPr id="2226" name="AutoShape 10">
          <a:extLst>
            <a:ext uri="{FF2B5EF4-FFF2-40B4-BE49-F238E27FC236}">
              <a16:creationId xmlns:a16="http://schemas.microsoft.com/office/drawing/2014/main" id="{9C45D9E9-045B-4A13-8971-622FA086EA1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18996"/>
    <xdr:sp macro="" textlink="">
      <xdr:nvSpPr>
        <xdr:cNvPr id="2227" name="AutoShape 11">
          <a:extLst>
            <a:ext uri="{FF2B5EF4-FFF2-40B4-BE49-F238E27FC236}">
              <a16:creationId xmlns:a16="http://schemas.microsoft.com/office/drawing/2014/main" id="{DDF6B6F7-7A2E-42DB-AA2A-85DA78DD982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1"/>
    <xdr:sp macro="" textlink="">
      <xdr:nvSpPr>
        <xdr:cNvPr id="2228" name="AutoShape 12">
          <a:extLst>
            <a:ext uri="{FF2B5EF4-FFF2-40B4-BE49-F238E27FC236}">
              <a16:creationId xmlns:a16="http://schemas.microsoft.com/office/drawing/2014/main" id="{268139FF-1AF9-4426-91F8-92ADFBF020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3068"/>
    <xdr:sp macro="" textlink="">
      <xdr:nvSpPr>
        <xdr:cNvPr id="2229" name="AutoShape 14">
          <a:extLst>
            <a:ext uri="{FF2B5EF4-FFF2-40B4-BE49-F238E27FC236}">
              <a16:creationId xmlns:a16="http://schemas.microsoft.com/office/drawing/2014/main" id="{CB15022F-15E6-4515-B730-94F586174D5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18996"/>
    <xdr:sp macro="" textlink="">
      <xdr:nvSpPr>
        <xdr:cNvPr id="2230" name="AutoShape 15">
          <a:extLst>
            <a:ext uri="{FF2B5EF4-FFF2-40B4-BE49-F238E27FC236}">
              <a16:creationId xmlns:a16="http://schemas.microsoft.com/office/drawing/2014/main" id="{2FCFDDD6-2E95-4166-8E00-860E7D201AE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31" name="AutoShape 16">
          <a:extLst>
            <a:ext uri="{FF2B5EF4-FFF2-40B4-BE49-F238E27FC236}">
              <a16:creationId xmlns:a16="http://schemas.microsoft.com/office/drawing/2014/main" id="{94857FF5-803B-4613-BA0E-A09A64E1DB9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32" name="AutoShape 17">
          <a:extLst>
            <a:ext uri="{FF2B5EF4-FFF2-40B4-BE49-F238E27FC236}">
              <a16:creationId xmlns:a16="http://schemas.microsoft.com/office/drawing/2014/main" id="{B4BEC0A0-9DCE-47A4-B225-BE6D6BC17D9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33" name="AutoShape 18">
          <a:extLst>
            <a:ext uri="{FF2B5EF4-FFF2-40B4-BE49-F238E27FC236}">
              <a16:creationId xmlns:a16="http://schemas.microsoft.com/office/drawing/2014/main" id="{C1D4290B-6059-446F-B597-4842EC571A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21032"/>
    <xdr:sp macro="" textlink="">
      <xdr:nvSpPr>
        <xdr:cNvPr id="2234" name="AutoShape 19">
          <a:extLst>
            <a:ext uri="{FF2B5EF4-FFF2-40B4-BE49-F238E27FC236}">
              <a16:creationId xmlns:a16="http://schemas.microsoft.com/office/drawing/2014/main" id="{1CEBD879-4A18-4AE0-8BC9-FF34BCDB52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136" cy="619868"/>
    <xdr:sp macro="" textlink="">
      <xdr:nvSpPr>
        <xdr:cNvPr id="2235" name="AutoShape 21">
          <a:extLst>
            <a:ext uri="{FF2B5EF4-FFF2-40B4-BE49-F238E27FC236}">
              <a16:creationId xmlns:a16="http://schemas.microsoft.com/office/drawing/2014/main" id="{9910CCF5-436A-4A8A-ACC4-4FE26718E2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1056926C-6C5E-4714-852A-CEFC2262C04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18220"/>
    <xdr:sp macro="" textlink="">
      <xdr:nvSpPr>
        <xdr:cNvPr id="2237" name="AutoShape 2">
          <a:extLst>
            <a:ext uri="{FF2B5EF4-FFF2-40B4-BE49-F238E27FC236}">
              <a16:creationId xmlns:a16="http://schemas.microsoft.com/office/drawing/2014/main" id="{14A710CD-A52D-4CF2-95B4-6506BDBC5CB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38" name="AutoShape 5">
          <a:extLst>
            <a:ext uri="{FF2B5EF4-FFF2-40B4-BE49-F238E27FC236}">
              <a16:creationId xmlns:a16="http://schemas.microsoft.com/office/drawing/2014/main" id="{9A2DD28F-59E9-4687-8D43-90C88510F22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953"/>
    <xdr:sp macro="" textlink="">
      <xdr:nvSpPr>
        <xdr:cNvPr id="2239" name="AutoShape 6">
          <a:extLst>
            <a:ext uri="{FF2B5EF4-FFF2-40B4-BE49-F238E27FC236}">
              <a16:creationId xmlns:a16="http://schemas.microsoft.com/office/drawing/2014/main" id="{5182EDC4-C88F-4ADA-89E2-86BC3A64E6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3067"/>
    <xdr:sp macro="" textlink="">
      <xdr:nvSpPr>
        <xdr:cNvPr id="2240" name="AutoShape 7">
          <a:extLst>
            <a:ext uri="{FF2B5EF4-FFF2-40B4-BE49-F238E27FC236}">
              <a16:creationId xmlns:a16="http://schemas.microsoft.com/office/drawing/2014/main" id="{4E0CF65B-3D23-416B-838B-2D3E79448DB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3068"/>
    <xdr:sp macro="" textlink="">
      <xdr:nvSpPr>
        <xdr:cNvPr id="2241" name="AutoShape 8">
          <a:extLst>
            <a:ext uri="{FF2B5EF4-FFF2-40B4-BE49-F238E27FC236}">
              <a16:creationId xmlns:a16="http://schemas.microsoft.com/office/drawing/2014/main" id="{70754E39-B1C1-4F3E-9EC5-E175EFEA472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3068"/>
    <xdr:sp macro="" textlink="">
      <xdr:nvSpPr>
        <xdr:cNvPr id="2242" name="AutoShape 9">
          <a:extLst>
            <a:ext uri="{FF2B5EF4-FFF2-40B4-BE49-F238E27FC236}">
              <a16:creationId xmlns:a16="http://schemas.microsoft.com/office/drawing/2014/main" id="{EB27B9C5-5007-40F0-94B0-078BAC5B788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1"/>
    <xdr:sp macro="" textlink="">
      <xdr:nvSpPr>
        <xdr:cNvPr id="2243" name="AutoShape 10">
          <a:extLst>
            <a:ext uri="{FF2B5EF4-FFF2-40B4-BE49-F238E27FC236}">
              <a16:creationId xmlns:a16="http://schemas.microsoft.com/office/drawing/2014/main" id="{492BDAA3-A8BC-457D-814F-A037291CE3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18996"/>
    <xdr:sp macro="" textlink="">
      <xdr:nvSpPr>
        <xdr:cNvPr id="2244" name="AutoShape 11">
          <a:extLst>
            <a:ext uri="{FF2B5EF4-FFF2-40B4-BE49-F238E27FC236}">
              <a16:creationId xmlns:a16="http://schemas.microsoft.com/office/drawing/2014/main" id="{7A612A12-0B79-44FF-846C-574093BA67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1"/>
    <xdr:sp macro="" textlink="">
      <xdr:nvSpPr>
        <xdr:cNvPr id="2245" name="AutoShape 12">
          <a:extLst>
            <a:ext uri="{FF2B5EF4-FFF2-40B4-BE49-F238E27FC236}">
              <a16:creationId xmlns:a16="http://schemas.microsoft.com/office/drawing/2014/main" id="{12FE2E93-D810-4319-846C-719EB3ABC1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3068"/>
    <xdr:sp macro="" textlink="">
      <xdr:nvSpPr>
        <xdr:cNvPr id="2246" name="AutoShape 14">
          <a:extLst>
            <a:ext uri="{FF2B5EF4-FFF2-40B4-BE49-F238E27FC236}">
              <a16:creationId xmlns:a16="http://schemas.microsoft.com/office/drawing/2014/main" id="{D35C79CE-A1C8-405F-A156-12CEDB99B17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18996"/>
    <xdr:sp macro="" textlink="">
      <xdr:nvSpPr>
        <xdr:cNvPr id="2247" name="AutoShape 15">
          <a:extLst>
            <a:ext uri="{FF2B5EF4-FFF2-40B4-BE49-F238E27FC236}">
              <a16:creationId xmlns:a16="http://schemas.microsoft.com/office/drawing/2014/main" id="{621A4745-6BDF-4AF0-90CB-1855410CC77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48" name="AutoShape 16">
          <a:extLst>
            <a:ext uri="{FF2B5EF4-FFF2-40B4-BE49-F238E27FC236}">
              <a16:creationId xmlns:a16="http://schemas.microsoft.com/office/drawing/2014/main" id="{636A7231-DE32-4851-B2D0-2E4C274CEA4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49" name="AutoShape 17">
          <a:extLst>
            <a:ext uri="{FF2B5EF4-FFF2-40B4-BE49-F238E27FC236}">
              <a16:creationId xmlns:a16="http://schemas.microsoft.com/office/drawing/2014/main" id="{E0F3FD64-8B9B-4FBA-AC17-8E652862EF6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50" name="AutoShape 18">
          <a:extLst>
            <a:ext uri="{FF2B5EF4-FFF2-40B4-BE49-F238E27FC236}">
              <a16:creationId xmlns:a16="http://schemas.microsoft.com/office/drawing/2014/main" id="{558040C7-BE5E-427E-BA7E-B9E03B7C71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21032"/>
    <xdr:sp macro="" textlink="">
      <xdr:nvSpPr>
        <xdr:cNvPr id="2251" name="AutoShape 19">
          <a:extLst>
            <a:ext uri="{FF2B5EF4-FFF2-40B4-BE49-F238E27FC236}">
              <a16:creationId xmlns:a16="http://schemas.microsoft.com/office/drawing/2014/main" id="{B8D2BFB9-380B-47DF-AF9B-91705AEB26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136" cy="619868"/>
    <xdr:sp macro="" textlink="">
      <xdr:nvSpPr>
        <xdr:cNvPr id="2252" name="AutoShape 21">
          <a:extLst>
            <a:ext uri="{FF2B5EF4-FFF2-40B4-BE49-F238E27FC236}">
              <a16:creationId xmlns:a16="http://schemas.microsoft.com/office/drawing/2014/main" id="{6DDA5CA0-E14A-449D-979F-3B11A728F49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0DBCF923-11FF-422A-AEF8-FB8F0699A5B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18220"/>
    <xdr:sp macro="" textlink="">
      <xdr:nvSpPr>
        <xdr:cNvPr id="2254" name="AutoShape 2">
          <a:extLst>
            <a:ext uri="{FF2B5EF4-FFF2-40B4-BE49-F238E27FC236}">
              <a16:creationId xmlns:a16="http://schemas.microsoft.com/office/drawing/2014/main" id="{05A05E5D-3D7C-4BC7-8CF6-AAC750515E9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55" name="AutoShape 5">
          <a:extLst>
            <a:ext uri="{FF2B5EF4-FFF2-40B4-BE49-F238E27FC236}">
              <a16:creationId xmlns:a16="http://schemas.microsoft.com/office/drawing/2014/main" id="{E3904B19-F6C6-4A5C-B718-25306702B9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953"/>
    <xdr:sp macro="" textlink="">
      <xdr:nvSpPr>
        <xdr:cNvPr id="2256" name="AutoShape 6">
          <a:extLst>
            <a:ext uri="{FF2B5EF4-FFF2-40B4-BE49-F238E27FC236}">
              <a16:creationId xmlns:a16="http://schemas.microsoft.com/office/drawing/2014/main" id="{E34375D6-99F5-4EC5-931F-BABBA6B7C8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3067"/>
    <xdr:sp macro="" textlink="">
      <xdr:nvSpPr>
        <xdr:cNvPr id="2257" name="AutoShape 7">
          <a:extLst>
            <a:ext uri="{FF2B5EF4-FFF2-40B4-BE49-F238E27FC236}">
              <a16:creationId xmlns:a16="http://schemas.microsoft.com/office/drawing/2014/main" id="{79641184-3072-43CE-83B9-74891A1CC4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3068"/>
    <xdr:sp macro="" textlink="">
      <xdr:nvSpPr>
        <xdr:cNvPr id="2258" name="AutoShape 8">
          <a:extLst>
            <a:ext uri="{FF2B5EF4-FFF2-40B4-BE49-F238E27FC236}">
              <a16:creationId xmlns:a16="http://schemas.microsoft.com/office/drawing/2014/main" id="{62ACEDA7-7FA3-42E2-ABA1-FA35B816A3C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3068"/>
    <xdr:sp macro="" textlink="">
      <xdr:nvSpPr>
        <xdr:cNvPr id="2259" name="AutoShape 9">
          <a:extLst>
            <a:ext uri="{FF2B5EF4-FFF2-40B4-BE49-F238E27FC236}">
              <a16:creationId xmlns:a16="http://schemas.microsoft.com/office/drawing/2014/main" id="{0F640FB8-069A-4A58-A4F3-B2DDA14321C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1"/>
    <xdr:sp macro="" textlink="">
      <xdr:nvSpPr>
        <xdr:cNvPr id="2260" name="AutoShape 10">
          <a:extLst>
            <a:ext uri="{FF2B5EF4-FFF2-40B4-BE49-F238E27FC236}">
              <a16:creationId xmlns:a16="http://schemas.microsoft.com/office/drawing/2014/main" id="{5505EC71-D293-42CA-9C30-3592A1A8066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18996"/>
    <xdr:sp macro="" textlink="">
      <xdr:nvSpPr>
        <xdr:cNvPr id="2261" name="AutoShape 11">
          <a:extLst>
            <a:ext uri="{FF2B5EF4-FFF2-40B4-BE49-F238E27FC236}">
              <a16:creationId xmlns:a16="http://schemas.microsoft.com/office/drawing/2014/main" id="{E6FCAD4D-C660-4025-B2C3-DF5C9C11B9A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1"/>
    <xdr:sp macro="" textlink="">
      <xdr:nvSpPr>
        <xdr:cNvPr id="2262" name="AutoShape 12">
          <a:extLst>
            <a:ext uri="{FF2B5EF4-FFF2-40B4-BE49-F238E27FC236}">
              <a16:creationId xmlns:a16="http://schemas.microsoft.com/office/drawing/2014/main" id="{23C2E561-B10C-480E-BE5C-2B9F455224D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3068"/>
    <xdr:sp macro="" textlink="">
      <xdr:nvSpPr>
        <xdr:cNvPr id="2263" name="AutoShape 14">
          <a:extLst>
            <a:ext uri="{FF2B5EF4-FFF2-40B4-BE49-F238E27FC236}">
              <a16:creationId xmlns:a16="http://schemas.microsoft.com/office/drawing/2014/main" id="{4F1B0BB9-BED9-4AA1-AB8A-E07414118B0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18996"/>
    <xdr:sp macro="" textlink="">
      <xdr:nvSpPr>
        <xdr:cNvPr id="2264" name="AutoShape 15">
          <a:extLst>
            <a:ext uri="{FF2B5EF4-FFF2-40B4-BE49-F238E27FC236}">
              <a16:creationId xmlns:a16="http://schemas.microsoft.com/office/drawing/2014/main" id="{442A77AD-2377-4C01-9599-34933ED7D80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65" name="AutoShape 16">
          <a:extLst>
            <a:ext uri="{FF2B5EF4-FFF2-40B4-BE49-F238E27FC236}">
              <a16:creationId xmlns:a16="http://schemas.microsoft.com/office/drawing/2014/main" id="{DEAAF23A-21DF-4515-B773-34BBC8E741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66" name="AutoShape 17">
          <a:extLst>
            <a:ext uri="{FF2B5EF4-FFF2-40B4-BE49-F238E27FC236}">
              <a16:creationId xmlns:a16="http://schemas.microsoft.com/office/drawing/2014/main" id="{5414BFE8-F3F4-4DD2-A38E-D3D50B30AF2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67" name="AutoShape 18">
          <a:extLst>
            <a:ext uri="{FF2B5EF4-FFF2-40B4-BE49-F238E27FC236}">
              <a16:creationId xmlns:a16="http://schemas.microsoft.com/office/drawing/2014/main" id="{9C74EFD8-7F11-407E-AD6D-A55DA5B75F0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21032"/>
    <xdr:sp macro="" textlink="">
      <xdr:nvSpPr>
        <xdr:cNvPr id="2268" name="AutoShape 19">
          <a:extLst>
            <a:ext uri="{FF2B5EF4-FFF2-40B4-BE49-F238E27FC236}">
              <a16:creationId xmlns:a16="http://schemas.microsoft.com/office/drawing/2014/main" id="{7447DFE1-8F80-47E2-BCE7-6AB8AC461D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136" cy="619868"/>
    <xdr:sp macro="" textlink="">
      <xdr:nvSpPr>
        <xdr:cNvPr id="2269" name="AutoShape 21">
          <a:extLst>
            <a:ext uri="{FF2B5EF4-FFF2-40B4-BE49-F238E27FC236}">
              <a16:creationId xmlns:a16="http://schemas.microsoft.com/office/drawing/2014/main" id="{17E620A0-2614-4014-94CC-098BBB52009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04499E01-13B3-4368-8318-400B0CCF51D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18220"/>
    <xdr:sp macro="" textlink="">
      <xdr:nvSpPr>
        <xdr:cNvPr id="2271" name="AutoShape 2">
          <a:extLst>
            <a:ext uri="{FF2B5EF4-FFF2-40B4-BE49-F238E27FC236}">
              <a16:creationId xmlns:a16="http://schemas.microsoft.com/office/drawing/2014/main" id="{C469152D-CB99-4343-BEC8-6139883B2E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72" name="AutoShape 5">
          <a:extLst>
            <a:ext uri="{FF2B5EF4-FFF2-40B4-BE49-F238E27FC236}">
              <a16:creationId xmlns:a16="http://schemas.microsoft.com/office/drawing/2014/main" id="{CDE27F02-8156-42CE-A2FE-648E53C041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953"/>
    <xdr:sp macro="" textlink="">
      <xdr:nvSpPr>
        <xdr:cNvPr id="2273" name="AutoShape 6">
          <a:extLst>
            <a:ext uri="{FF2B5EF4-FFF2-40B4-BE49-F238E27FC236}">
              <a16:creationId xmlns:a16="http://schemas.microsoft.com/office/drawing/2014/main" id="{941B9778-284C-434A-8031-BE8414612BC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3067"/>
    <xdr:sp macro="" textlink="">
      <xdr:nvSpPr>
        <xdr:cNvPr id="2274" name="AutoShape 7">
          <a:extLst>
            <a:ext uri="{FF2B5EF4-FFF2-40B4-BE49-F238E27FC236}">
              <a16:creationId xmlns:a16="http://schemas.microsoft.com/office/drawing/2014/main" id="{1A7A224D-7D97-4D3E-AE6F-8C18864584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3068"/>
    <xdr:sp macro="" textlink="">
      <xdr:nvSpPr>
        <xdr:cNvPr id="2275" name="AutoShape 8">
          <a:extLst>
            <a:ext uri="{FF2B5EF4-FFF2-40B4-BE49-F238E27FC236}">
              <a16:creationId xmlns:a16="http://schemas.microsoft.com/office/drawing/2014/main" id="{CE97E903-D50E-4B27-8CE1-054495ED475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3068"/>
    <xdr:sp macro="" textlink="">
      <xdr:nvSpPr>
        <xdr:cNvPr id="2276" name="AutoShape 9">
          <a:extLst>
            <a:ext uri="{FF2B5EF4-FFF2-40B4-BE49-F238E27FC236}">
              <a16:creationId xmlns:a16="http://schemas.microsoft.com/office/drawing/2014/main" id="{FC40B3AC-5448-4EBF-8F07-AB3722D88F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1"/>
    <xdr:sp macro="" textlink="">
      <xdr:nvSpPr>
        <xdr:cNvPr id="2277" name="AutoShape 10">
          <a:extLst>
            <a:ext uri="{FF2B5EF4-FFF2-40B4-BE49-F238E27FC236}">
              <a16:creationId xmlns:a16="http://schemas.microsoft.com/office/drawing/2014/main" id="{3397D197-2D63-4C5C-8EB0-0FDF6A67ED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18996"/>
    <xdr:sp macro="" textlink="">
      <xdr:nvSpPr>
        <xdr:cNvPr id="2278" name="AutoShape 11">
          <a:extLst>
            <a:ext uri="{FF2B5EF4-FFF2-40B4-BE49-F238E27FC236}">
              <a16:creationId xmlns:a16="http://schemas.microsoft.com/office/drawing/2014/main" id="{91ED7A4D-B384-4CE9-940C-B42C17BD396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1"/>
    <xdr:sp macro="" textlink="">
      <xdr:nvSpPr>
        <xdr:cNvPr id="2279" name="AutoShape 12">
          <a:extLst>
            <a:ext uri="{FF2B5EF4-FFF2-40B4-BE49-F238E27FC236}">
              <a16:creationId xmlns:a16="http://schemas.microsoft.com/office/drawing/2014/main" id="{17EA7890-657E-4EF8-BBE7-66F6A6A1CF1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3068"/>
    <xdr:sp macro="" textlink="">
      <xdr:nvSpPr>
        <xdr:cNvPr id="2280" name="AutoShape 14">
          <a:extLst>
            <a:ext uri="{FF2B5EF4-FFF2-40B4-BE49-F238E27FC236}">
              <a16:creationId xmlns:a16="http://schemas.microsoft.com/office/drawing/2014/main" id="{29E28437-4289-4DB4-AB1A-29AA20ED77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18996"/>
    <xdr:sp macro="" textlink="">
      <xdr:nvSpPr>
        <xdr:cNvPr id="2281" name="AutoShape 15">
          <a:extLst>
            <a:ext uri="{FF2B5EF4-FFF2-40B4-BE49-F238E27FC236}">
              <a16:creationId xmlns:a16="http://schemas.microsoft.com/office/drawing/2014/main" id="{36DDCBB7-5781-4149-841B-5EADBBF016F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82" name="AutoShape 16">
          <a:extLst>
            <a:ext uri="{FF2B5EF4-FFF2-40B4-BE49-F238E27FC236}">
              <a16:creationId xmlns:a16="http://schemas.microsoft.com/office/drawing/2014/main" id="{BE2E0C8E-AB77-4786-A554-AFE8D806FD4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83" name="AutoShape 17">
          <a:extLst>
            <a:ext uri="{FF2B5EF4-FFF2-40B4-BE49-F238E27FC236}">
              <a16:creationId xmlns:a16="http://schemas.microsoft.com/office/drawing/2014/main" id="{A8CCAD3D-3ED5-4BF8-AA7E-2485F5F79C8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84" name="AutoShape 18">
          <a:extLst>
            <a:ext uri="{FF2B5EF4-FFF2-40B4-BE49-F238E27FC236}">
              <a16:creationId xmlns:a16="http://schemas.microsoft.com/office/drawing/2014/main" id="{E2CB2DF0-5F27-4258-9C06-FF02AEF321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21032"/>
    <xdr:sp macro="" textlink="">
      <xdr:nvSpPr>
        <xdr:cNvPr id="2285" name="AutoShape 19">
          <a:extLst>
            <a:ext uri="{FF2B5EF4-FFF2-40B4-BE49-F238E27FC236}">
              <a16:creationId xmlns:a16="http://schemas.microsoft.com/office/drawing/2014/main" id="{3D471B28-D30F-48C8-982C-83ADA1BE25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136" cy="619868"/>
    <xdr:sp macro="" textlink="">
      <xdr:nvSpPr>
        <xdr:cNvPr id="2286" name="AutoShape 21">
          <a:extLst>
            <a:ext uri="{FF2B5EF4-FFF2-40B4-BE49-F238E27FC236}">
              <a16:creationId xmlns:a16="http://schemas.microsoft.com/office/drawing/2014/main" id="{3FAFB1D1-176C-404A-AB0D-D702938AA4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9C885650-AE4B-4CF1-A245-DBD8B850D5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18220"/>
    <xdr:sp macro="" textlink="">
      <xdr:nvSpPr>
        <xdr:cNvPr id="2288" name="AutoShape 2">
          <a:extLst>
            <a:ext uri="{FF2B5EF4-FFF2-40B4-BE49-F238E27FC236}">
              <a16:creationId xmlns:a16="http://schemas.microsoft.com/office/drawing/2014/main" id="{943FDCE2-4C8F-45C4-8D02-37BC719090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289" name="AutoShape 5">
          <a:extLst>
            <a:ext uri="{FF2B5EF4-FFF2-40B4-BE49-F238E27FC236}">
              <a16:creationId xmlns:a16="http://schemas.microsoft.com/office/drawing/2014/main" id="{0BCD2372-0897-407F-9627-5E9DF751FC8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953"/>
    <xdr:sp macro="" textlink="">
      <xdr:nvSpPr>
        <xdr:cNvPr id="2290" name="AutoShape 6">
          <a:extLst>
            <a:ext uri="{FF2B5EF4-FFF2-40B4-BE49-F238E27FC236}">
              <a16:creationId xmlns:a16="http://schemas.microsoft.com/office/drawing/2014/main" id="{F6682C0D-EBB3-4AC5-9D78-2B61FB2FD1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3067"/>
    <xdr:sp macro="" textlink="">
      <xdr:nvSpPr>
        <xdr:cNvPr id="2291" name="AutoShape 7">
          <a:extLst>
            <a:ext uri="{FF2B5EF4-FFF2-40B4-BE49-F238E27FC236}">
              <a16:creationId xmlns:a16="http://schemas.microsoft.com/office/drawing/2014/main" id="{F4C13BDD-5526-4180-84A3-3E0A9F9372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3068"/>
    <xdr:sp macro="" textlink="">
      <xdr:nvSpPr>
        <xdr:cNvPr id="2292" name="AutoShape 8">
          <a:extLst>
            <a:ext uri="{FF2B5EF4-FFF2-40B4-BE49-F238E27FC236}">
              <a16:creationId xmlns:a16="http://schemas.microsoft.com/office/drawing/2014/main" id="{FE6D39AD-A81F-4D52-8C25-B285F6D765B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3068"/>
    <xdr:sp macro="" textlink="">
      <xdr:nvSpPr>
        <xdr:cNvPr id="2293" name="AutoShape 9">
          <a:extLst>
            <a:ext uri="{FF2B5EF4-FFF2-40B4-BE49-F238E27FC236}">
              <a16:creationId xmlns:a16="http://schemas.microsoft.com/office/drawing/2014/main" id="{0C250596-06E3-479D-BD4A-4CAC5BBC28C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1"/>
    <xdr:sp macro="" textlink="">
      <xdr:nvSpPr>
        <xdr:cNvPr id="2294" name="AutoShape 10">
          <a:extLst>
            <a:ext uri="{FF2B5EF4-FFF2-40B4-BE49-F238E27FC236}">
              <a16:creationId xmlns:a16="http://schemas.microsoft.com/office/drawing/2014/main" id="{C2BBCBC7-A9A5-4C45-874E-AE405D0BBCE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18996"/>
    <xdr:sp macro="" textlink="">
      <xdr:nvSpPr>
        <xdr:cNvPr id="2295" name="AutoShape 11">
          <a:extLst>
            <a:ext uri="{FF2B5EF4-FFF2-40B4-BE49-F238E27FC236}">
              <a16:creationId xmlns:a16="http://schemas.microsoft.com/office/drawing/2014/main" id="{BA73DFCE-CF3F-410C-8A91-C75304B170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1"/>
    <xdr:sp macro="" textlink="">
      <xdr:nvSpPr>
        <xdr:cNvPr id="2296" name="AutoShape 12">
          <a:extLst>
            <a:ext uri="{FF2B5EF4-FFF2-40B4-BE49-F238E27FC236}">
              <a16:creationId xmlns:a16="http://schemas.microsoft.com/office/drawing/2014/main" id="{479D792F-83B1-4464-A11D-1CD46A57E7C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3068"/>
    <xdr:sp macro="" textlink="">
      <xdr:nvSpPr>
        <xdr:cNvPr id="2297" name="AutoShape 14">
          <a:extLst>
            <a:ext uri="{FF2B5EF4-FFF2-40B4-BE49-F238E27FC236}">
              <a16:creationId xmlns:a16="http://schemas.microsoft.com/office/drawing/2014/main" id="{17AA4C6D-ABD3-467D-99AD-3BAB7EB425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18996"/>
    <xdr:sp macro="" textlink="">
      <xdr:nvSpPr>
        <xdr:cNvPr id="2298" name="AutoShape 15">
          <a:extLst>
            <a:ext uri="{FF2B5EF4-FFF2-40B4-BE49-F238E27FC236}">
              <a16:creationId xmlns:a16="http://schemas.microsoft.com/office/drawing/2014/main" id="{8852EC28-81A3-44F1-8320-783680DDD4B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299" name="AutoShape 16">
          <a:extLst>
            <a:ext uri="{FF2B5EF4-FFF2-40B4-BE49-F238E27FC236}">
              <a16:creationId xmlns:a16="http://schemas.microsoft.com/office/drawing/2014/main" id="{D1F1D827-E7B5-4F73-8AAC-1E4D93C8FF8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300" name="AutoShape 17">
          <a:extLst>
            <a:ext uri="{FF2B5EF4-FFF2-40B4-BE49-F238E27FC236}">
              <a16:creationId xmlns:a16="http://schemas.microsoft.com/office/drawing/2014/main" id="{1714C240-8309-4B2C-8EBA-03BBAE9F8F4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301" name="AutoShape 18">
          <a:extLst>
            <a:ext uri="{FF2B5EF4-FFF2-40B4-BE49-F238E27FC236}">
              <a16:creationId xmlns:a16="http://schemas.microsoft.com/office/drawing/2014/main" id="{BEA62A07-195A-4617-98C7-7998C4D6CE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21032"/>
    <xdr:sp macro="" textlink="">
      <xdr:nvSpPr>
        <xdr:cNvPr id="2302" name="AutoShape 19">
          <a:extLst>
            <a:ext uri="{FF2B5EF4-FFF2-40B4-BE49-F238E27FC236}">
              <a16:creationId xmlns:a16="http://schemas.microsoft.com/office/drawing/2014/main" id="{5667605E-ED8B-442A-AFB4-5AA23904C52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136" cy="619868"/>
    <xdr:sp macro="" textlink="">
      <xdr:nvSpPr>
        <xdr:cNvPr id="2303" name="AutoShape 21">
          <a:extLst>
            <a:ext uri="{FF2B5EF4-FFF2-40B4-BE49-F238E27FC236}">
              <a16:creationId xmlns:a16="http://schemas.microsoft.com/office/drawing/2014/main" id="{10B0D3BA-ADDB-4028-B371-3B90CB5C1BB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F8EA7776-B2D7-4750-BC74-2CFD7CEFB5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18220"/>
    <xdr:sp macro="" textlink="">
      <xdr:nvSpPr>
        <xdr:cNvPr id="2305" name="AutoShape 2">
          <a:extLst>
            <a:ext uri="{FF2B5EF4-FFF2-40B4-BE49-F238E27FC236}">
              <a16:creationId xmlns:a16="http://schemas.microsoft.com/office/drawing/2014/main" id="{0B96B07A-C1BD-417A-A271-1FF732275C9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06" name="AutoShape 5">
          <a:extLst>
            <a:ext uri="{FF2B5EF4-FFF2-40B4-BE49-F238E27FC236}">
              <a16:creationId xmlns:a16="http://schemas.microsoft.com/office/drawing/2014/main" id="{E30C262D-B7BD-4E67-AE20-7948D22E02A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953"/>
    <xdr:sp macro="" textlink="">
      <xdr:nvSpPr>
        <xdr:cNvPr id="2307" name="AutoShape 6">
          <a:extLst>
            <a:ext uri="{FF2B5EF4-FFF2-40B4-BE49-F238E27FC236}">
              <a16:creationId xmlns:a16="http://schemas.microsoft.com/office/drawing/2014/main" id="{D56219CC-9345-49C7-8A9E-188AC150316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3067"/>
    <xdr:sp macro="" textlink="">
      <xdr:nvSpPr>
        <xdr:cNvPr id="2308" name="AutoShape 7">
          <a:extLst>
            <a:ext uri="{FF2B5EF4-FFF2-40B4-BE49-F238E27FC236}">
              <a16:creationId xmlns:a16="http://schemas.microsoft.com/office/drawing/2014/main" id="{24397460-1045-4AD0-B985-8152D43E76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3068"/>
    <xdr:sp macro="" textlink="">
      <xdr:nvSpPr>
        <xdr:cNvPr id="2309" name="AutoShape 8">
          <a:extLst>
            <a:ext uri="{FF2B5EF4-FFF2-40B4-BE49-F238E27FC236}">
              <a16:creationId xmlns:a16="http://schemas.microsoft.com/office/drawing/2014/main" id="{644B712F-EE40-49B2-B944-C98B6A440C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3068"/>
    <xdr:sp macro="" textlink="">
      <xdr:nvSpPr>
        <xdr:cNvPr id="2310" name="AutoShape 9">
          <a:extLst>
            <a:ext uri="{FF2B5EF4-FFF2-40B4-BE49-F238E27FC236}">
              <a16:creationId xmlns:a16="http://schemas.microsoft.com/office/drawing/2014/main" id="{A958D5AC-71A5-4C91-BA49-F228D78D7C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1"/>
    <xdr:sp macro="" textlink="">
      <xdr:nvSpPr>
        <xdr:cNvPr id="2311" name="AutoShape 10">
          <a:extLst>
            <a:ext uri="{FF2B5EF4-FFF2-40B4-BE49-F238E27FC236}">
              <a16:creationId xmlns:a16="http://schemas.microsoft.com/office/drawing/2014/main" id="{08050DB2-B436-4706-A318-01496147EE1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18996"/>
    <xdr:sp macro="" textlink="">
      <xdr:nvSpPr>
        <xdr:cNvPr id="2312" name="AutoShape 11">
          <a:extLst>
            <a:ext uri="{FF2B5EF4-FFF2-40B4-BE49-F238E27FC236}">
              <a16:creationId xmlns:a16="http://schemas.microsoft.com/office/drawing/2014/main" id="{EA04E0CF-FA11-44B2-ADF6-B1ADF8C22FE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1"/>
    <xdr:sp macro="" textlink="">
      <xdr:nvSpPr>
        <xdr:cNvPr id="2313" name="AutoShape 12">
          <a:extLst>
            <a:ext uri="{FF2B5EF4-FFF2-40B4-BE49-F238E27FC236}">
              <a16:creationId xmlns:a16="http://schemas.microsoft.com/office/drawing/2014/main" id="{600F7FAF-532B-4777-9EB4-18898788A6A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3068"/>
    <xdr:sp macro="" textlink="">
      <xdr:nvSpPr>
        <xdr:cNvPr id="2314" name="AutoShape 14">
          <a:extLst>
            <a:ext uri="{FF2B5EF4-FFF2-40B4-BE49-F238E27FC236}">
              <a16:creationId xmlns:a16="http://schemas.microsoft.com/office/drawing/2014/main" id="{FD7EA37C-9EFE-4AF7-9DA4-82AA1901A2A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18996"/>
    <xdr:sp macro="" textlink="">
      <xdr:nvSpPr>
        <xdr:cNvPr id="2315" name="AutoShape 15">
          <a:extLst>
            <a:ext uri="{FF2B5EF4-FFF2-40B4-BE49-F238E27FC236}">
              <a16:creationId xmlns:a16="http://schemas.microsoft.com/office/drawing/2014/main" id="{E9F381A8-A4B9-4656-B3FF-5D7EB225529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16" name="AutoShape 16">
          <a:extLst>
            <a:ext uri="{FF2B5EF4-FFF2-40B4-BE49-F238E27FC236}">
              <a16:creationId xmlns:a16="http://schemas.microsoft.com/office/drawing/2014/main" id="{A10164C7-D0C6-476D-95AF-072441AB091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17" name="AutoShape 17">
          <a:extLst>
            <a:ext uri="{FF2B5EF4-FFF2-40B4-BE49-F238E27FC236}">
              <a16:creationId xmlns:a16="http://schemas.microsoft.com/office/drawing/2014/main" id="{24DE3944-DE9A-40F5-9601-F798DEE6547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18" name="AutoShape 18">
          <a:extLst>
            <a:ext uri="{FF2B5EF4-FFF2-40B4-BE49-F238E27FC236}">
              <a16:creationId xmlns:a16="http://schemas.microsoft.com/office/drawing/2014/main" id="{07C74762-5DB4-44D8-9BFC-DB7BB6B792F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21032"/>
    <xdr:sp macro="" textlink="">
      <xdr:nvSpPr>
        <xdr:cNvPr id="2319" name="AutoShape 19">
          <a:extLst>
            <a:ext uri="{FF2B5EF4-FFF2-40B4-BE49-F238E27FC236}">
              <a16:creationId xmlns:a16="http://schemas.microsoft.com/office/drawing/2014/main" id="{8B4EE44C-81DC-43F1-B68F-BF9979BAAFD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136" cy="619868"/>
    <xdr:sp macro="" textlink="">
      <xdr:nvSpPr>
        <xdr:cNvPr id="2320" name="AutoShape 21">
          <a:extLst>
            <a:ext uri="{FF2B5EF4-FFF2-40B4-BE49-F238E27FC236}">
              <a16:creationId xmlns:a16="http://schemas.microsoft.com/office/drawing/2014/main" id="{CFB90613-1971-4FF9-9289-8B6892E43E5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5EA4EF15-189C-4A15-A0E8-756F0DBCF59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18220"/>
    <xdr:sp macro="" textlink="">
      <xdr:nvSpPr>
        <xdr:cNvPr id="2322" name="AutoShape 2">
          <a:extLst>
            <a:ext uri="{FF2B5EF4-FFF2-40B4-BE49-F238E27FC236}">
              <a16:creationId xmlns:a16="http://schemas.microsoft.com/office/drawing/2014/main" id="{464049E9-0CBC-4FE1-A66B-FD4526A1F98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23" name="AutoShape 5">
          <a:extLst>
            <a:ext uri="{FF2B5EF4-FFF2-40B4-BE49-F238E27FC236}">
              <a16:creationId xmlns:a16="http://schemas.microsoft.com/office/drawing/2014/main" id="{F3DA7CA9-7B0F-4CAF-9F5E-040BC3B6D84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953"/>
    <xdr:sp macro="" textlink="">
      <xdr:nvSpPr>
        <xdr:cNvPr id="2324" name="AutoShape 6">
          <a:extLst>
            <a:ext uri="{FF2B5EF4-FFF2-40B4-BE49-F238E27FC236}">
              <a16:creationId xmlns:a16="http://schemas.microsoft.com/office/drawing/2014/main" id="{4962B04E-3207-43E8-ACF2-22F286479EF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3067"/>
    <xdr:sp macro="" textlink="">
      <xdr:nvSpPr>
        <xdr:cNvPr id="2325" name="AutoShape 7">
          <a:extLst>
            <a:ext uri="{FF2B5EF4-FFF2-40B4-BE49-F238E27FC236}">
              <a16:creationId xmlns:a16="http://schemas.microsoft.com/office/drawing/2014/main" id="{580DAA28-2F8C-4D97-A171-7FA76F8B1A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3068"/>
    <xdr:sp macro="" textlink="">
      <xdr:nvSpPr>
        <xdr:cNvPr id="2326" name="AutoShape 8">
          <a:extLst>
            <a:ext uri="{FF2B5EF4-FFF2-40B4-BE49-F238E27FC236}">
              <a16:creationId xmlns:a16="http://schemas.microsoft.com/office/drawing/2014/main" id="{9E0A1247-05A2-4D40-8E26-61E247A6871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3068"/>
    <xdr:sp macro="" textlink="">
      <xdr:nvSpPr>
        <xdr:cNvPr id="2327" name="AutoShape 9">
          <a:extLst>
            <a:ext uri="{FF2B5EF4-FFF2-40B4-BE49-F238E27FC236}">
              <a16:creationId xmlns:a16="http://schemas.microsoft.com/office/drawing/2014/main" id="{D2919A33-7067-4CF2-8D31-E4F13807BBB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1"/>
    <xdr:sp macro="" textlink="">
      <xdr:nvSpPr>
        <xdr:cNvPr id="2328" name="AutoShape 10">
          <a:extLst>
            <a:ext uri="{FF2B5EF4-FFF2-40B4-BE49-F238E27FC236}">
              <a16:creationId xmlns:a16="http://schemas.microsoft.com/office/drawing/2014/main" id="{0B2767B1-A4E0-4D02-BB93-EDAC346396D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18996"/>
    <xdr:sp macro="" textlink="">
      <xdr:nvSpPr>
        <xdr:cNvPr id="2329" name="AutoShape 11">
          <a:extLst>
            <a:ext uri="{FF2B5EF4-FFF2-40B4-BE49-F238E27FC236}">
              <a16:creationId xmlns:a16="http://schemas.microsoft.com/office/drawing/2014/main" id="{26D3C3EF-CB7B-488E-A0D8-F4C939A8E9C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1"/>
    <xdr:sp macro="" textlink="">
      <xdr:nvSpPr>
        <xdr:cNvPr id="2330" name="AutoShape 12">
          <a:extLst>
            <a:ext uri="{FF2B5EF4-FFF2-40B4-BE49-F238E27FC236}">
              <a16:creationId xmlns:a16="http://schemas.microsoft.com/office/drawing/2014/main" id="{BB39081A-9CD2-4CC1-A161-E4FDA7956CB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3068"/>
    <xdr:sp macro="" textlink="">
      <xdr:nvSpPr>
        <xdr:cNvPr id="2331" name="AutoShape 14">
          <a:extLst>
            <a:ext uri="{FF2B5EF4-FFF2-40B4-BE49-F238E27FC236}">
              <a16:creationId xmlns:a16="http://schemas.microsoft.com/office/drawing/2014/main" id="{9E5568EB-9F1B-4F1E-9CCB-722DB910647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18996"/>
    <xdr:sp macro="" textlink="">
      <xdr:nvSpPr>
        <xdr:cNvPr id="2332" name="AutoShape 15">
          <a:extLst>
            <a:ext uri="{FF2B5EF4-FFF2-40B4-BE49-F238E27FC236}">
              <a16:creationId xmlns:a16="http://schemas.microsoft.com/office/drawing/2014/main" id="{415F3071-EF6A-4611-9EC4-818971029B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33" name="AutoShape 16">
          <a:extLst>
            <a:ext uri="{FF2B5EF4-FFF2-40B4-BE49-F238E27FC236}">
              <a16:creationId xmlns:a16="http://schemas.microsoft.com/office/drawing/2014/main" id="{60003DA0-17FE-4F30-9C6F-13FAD4D5C41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34" name="AutoShape 17">
          <a:extLst>
            <a:ext uri="{FF2B5EF4-FFF2-40B4-BE49-F238E27FC236}">
              <a16:creationId xmlns:a16="http://schemas.microsoft.com/office/drawing/2014/main" id="{C7D9F042-AE32-40A9-9B2F-176494F82D0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35" name="AutoShape 18">
          <a:extLst>
            <a:ext uri="{FF2B5EF4-FFF2-40B4-BE49-F238E27FC236}">
              <a16:creationId xmlns:a16="http://schemas.microsoft.com/office/drawing/2014/main" id="{2CA2E564-65DC-42CC-A1AB-F32B4D68B15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21032"/>
    <xdr:sp macro="" textlink="">
      <xdr:nvSpPr>
        <xdr:cNvPr id="2336" name="AutoShape 19">
          <a:extLst>
            <a:ext uri="{FF2B5EF4-FFF2-40B4-BE49-F238E27FC236}">
              <a16:creationId xmlns:a16="http://schemas.microsoft.com/office/drawing/2014/main" id="{81E018F0-D038-4566-9C98-C114D41B13E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136" cy="619868"/>
    <xdr:sp macro="" textlink="">
      <xdr:nvSpPr>
        <xdr:cNvPr id="2337" name="AutoShape 21">
          <a:extLst>
            <a:ext uri="{FF2B5EF4-FFF2-40B4-BE49-F238E27FC236}">
              <a16:creationId xmlns:a16="http://schemas.microsoft.com/office/drawing/2014/main" id="{E83EFCA3-6CAE-45EA-9B8D-130EC8846A6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8E71BC11-B8E2-4768-B48A-9543234B62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18220"/>
    <xdr:sp macro="" textlink="">
      <xdr:nvSpPr>
        <xdr:cNvPr id="2339" name="AutoShape 2">
          <a:extLst>
            <a:ext uri="{FF2B5EF4-FFF2-40B4-BE49-F238E27FC236}">
              <a16:creationId xmlns:a16="http://schemas.microsoft.com/office/drawing/2014/main" id="{AE0115CD-A56F-4085-A54A-139D4CA98DB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40" name="AutoShape 5">
          <a:extLst>
            <a:ext uri="{FF2B5EF4-FFF2-40B4-BE49-F238E27FC236}">
              <a16:creationId xmlns:a16="http://schemas.microsoft.com/office/drawing/2014/main" id="{1535E7AA-F98B-45E6-8203-0C03F58A2D6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953"/>
    <xdr:sp macro="" textlink="">
      <xdr:nvSpPr>
        <xdr:cNvPr id="2341" name="AutoShape 6">
          <a:extLst>
            <a:ext uri="{FF2B5EF4-FFF2-40B4-BE49-F238E27FC236}">
              <a16:creationId xmlns:a16="http://schemas.microsoft.com/office/drawing/2014/main" id="{962FBD67-5C76-412E-8A9B-1858758F4E4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3067"/>
    <xdr:sp macro="" textlink="">
      <xdr:nvSpPr>
        <xdr:cNvPr id="2342" name="AutoShape 7">
          <a:extLst>
            <a:ext uri="{FF2B5EF4-FFF2-40B4-BE49-F238E27FC236}">
              <a16:creationId xmlns:a16="http://schemas.microsoft.com/office/drawing/2014/main" id="{5554AC50-6B2F-4BB2-BC06-C924FC2FAD9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3068"/>
    <xdr:sp macro="" textlink="">
      <xdr:nvSpPr>
        <xdr:cNvPr id="2343" name="AutoShape 8">
          <a:extLst>
            <a:ext uri="{FF2B5EF4-FFF2-40B4-BE49-F238E27FC236}">
              <a16:creationId xmlns:a16="http://schemas.microsoft.com/office/drawing/2014/main" id="{A5E9580B-8DA9-44B3-9AC9-5F708AE32AE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3068"/>
    <xdr:sp macro="" textlink="">
      <xdr:nvSpPr>
        <xdr:cNvPr id="2344" name="AutoShape 9">
          <a:extLst>
            <a:ext uri="{FF2B5EF4-FFF2-40B4-BE49-F238E27FC236}">
              <a16:creationId xmlns:a16="http://schemas.microsoft.com/office/drawing/2014/main" id="{F7E511A4-88DA-461A-9ADB-5F2996B7EE1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1"/>
    <xdr:sp macro="" textlink="">
      <xdr:nvSpPr>
        <xdr:cNvPr id="2345" name="AutoShape 10">
          <a:extLst>
            <a:ext uri="{FF2B5EF4-FFF2-40B4-BE49-F238E27FC236}">
              <a16:creationId xmlns:a16="http://schemas.microsoft.com/office/drawing/2014/main" id="{4EBD60E9-319D-435F-B273-B69DC23DA40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18996"/>
    <xdr:sp macro="" textlink="">
      <xdr:nvSpPr>
        <xdr:cNvPr id="2346" name="AutoShape 11">
          <a:extLst>
            <a:ext uri="{FF2B5EF4-FFF2-40B4-BE49-F238E27FC236}">
              <a16:creationId xmlns:a16="http://schemas.microsoft.com/office/drawing/2014/main" id="{AF54ABC5-B24E-4164-87B6-26C3B0FD417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1"/>
    <xdr:sp macro="" textlink="">
      <xdr:nvSpPr>
        <xdr:cNvPr id="2347" name="AutoShape 12">
          <a:extLst>
            <a:ext uri="{FF2B5EF4-FFF2-40B4-BE49-F238E27FC236}">
              <a16:creationId xmlns:a16="http://schemas.microsoft.com/office/drawing/2014/main" id="{8AB9F695-8A11-4660-B771-36155DB1431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3068"/>
    <xdr:sp macro="" textlink="">
      <xdr:nvSpPr>
        <xdr:cNvPr id="2348" name="AutoShape 14">
          <a:extLst>
            <a:ext uri="{FF2B5EF4-FFF2-40B4-BE49-F238E27FC236}">
              <a16:creationId xmlns:a16="http://schemas.microsoft.com/office/drawing/2014/main" id="{14C49ABF-5FDC-4CC6-94C5-023BDCD509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18996"/>
    <xdr:sp macro="" textlink="">
      <xdr:nvSpPr>
        <xdr:cNvPr id="2349" name="AutoShape 15">
          <a:extLst>
            <a:ext uri="{FF2B5EF4-FFF2-40B4-BE49-F238E27FC236}">
              <a16:creationId xmlns:a16="http://schemas.microsoft.com/office/drawing/2014/main" id="{3D1CD2E2-A61C-467F-9B6D-B5BC9B6264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50" name="AutoShape 16">
          <a:extLst>
            <a:ext uri="{FF2B5EF4-FFF2-40B4-BE49-F238E27FC236}">
              <a16:creationId xmlns:a16="http://schemas.microsoft.com/office/drawing/2014/main" id="{F9D2581E-1A2C-4145-B82D-5518B303864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51" name="AutoShape 17">
          <a:extLst>
            <a:ext uri="{FF2B5EF4-FFF2-40B4-BE49-F238E27FC236}">
              <a16:creationId xmlns:a16="http://schemas.microsoft.com/office/drawing/2014/main" id="{393CD6CC-CF4C-4E05-BE98-2A5E9207CB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52" name="AutoShape 18">
          <a:extLst>
            <a:ext uri="{FF2B5EF4-FFF2-40B4-BE49-F238E27FC236}">
              <a16:creationId xmlns:a16="http://schemas.microsoft.com/office/drawing/2014/main" id="{0304BE36-60FE-4221-B3BC-E9C5C948FE9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21032"/>
    <xdr:sp macro="" textlink="">
      <xdr:nvSpPr>
        <xdr:cNvPr id="2353" name="AutoShape 19">
          <a:extLst>
            <a:ext uri="{FF2B5EF4-FFF2-40B4-BE49-F238E27FC236}">
              <a16:creationId xmlns:a16="http://schemas.microsoft.com/office/drawing/2014/main" id="{C2812C67-F429-4050-927D-FA8BC0E7220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136" cy="619868"/>
    <xdr:sp macro="" textlink="">
      <xdr:nvSpPr>
        <xdr:cNvPr id="2354" name="AutoShape 21">
          <a:extLst>
            <a:ext uri="{FF2B5EF4-FFF2-40B4-BE49-F238E27FC236}">
              <a16:creationId xmlns:a16="http://schemas.microsoft.com/office/drawing/2014/main" id="{95B4C793-7196-47AA-A394-8EC2B395ED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31439181-7A48-4289-9CAF-8C42D47CB1C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18220"/>
    <xdr:sp macro="" textlink="">
      <xdr:nvSpPr>
        <xdr:cNvPr id="2356" name="AutoShape 2">
          <a:extLst>
            <a:ext uri="{FF2B5EF4-FFF2-40B4-BE49-F238E27FC236}">
              <a16:creationId xmlns:a16="http://schemas.microsoft.com/office/drawing/2014/main" id="{8BC9A79E-2B9C-4D55-A723-5426302F61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57" name="AutoShape 5">
          <a:extLst>
            <a:ext uri="{FF2B5EF4-FFF2-40B4-BE49-F238E27FC236}">
              <a16:creationId xmlns:a16="http://schemas.microsoft.com/office/drawing/2014/main" id="{4B0DEC03-5357-48D1-95F6-FD21268F876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953"/>
    <xdr:sp macro="" textlink="">
      <xdr:nvSpPr>
        <xdr:cNvPr id="2358" name="AutoShape 6">
          <a:extLst>
            <a:ext uri="{FF2B5EF4-FFF2-40B4-BE49-F238E27FC236}">
              <a16:creationId xmlns:a16="http://schemas.microsoft.com/office/drawing/2014/main" id="{607EEA6B-8EA5-4B1F-B13E-A8BE53753BF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3067"/>
    <xdr:sp macro="" textlink="">
      <xdr:nvSpPr>
        <xdr:cNvPr id="2359" name="AutoShape 7">
          <a:extLst>
            <a:ext uri="{FF2B5EF4-FFF2-40B4-BE49-F238E27FC236}">
              <a16:creationId xmlns:a16="http://schemas.microsoft.com/office/drawing/2014/main" id="{DB0572D3-8A3C-4FC0-B0E8-1AE203F8310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3068"/>
    <xdr:sp macro="" textlink="">
      <xdr:nvSpPr>
        <xdr:cNvPr id="2360" name="AutoShape 8">
          <a:extLst>
            <a:ext uri="{FF2B5EF4-FFF2-40B4-BE49-F238E27FC236}">
              <a16:creationId xmlns:a16="http://schemas.microsoft.com/office/drawing/2014/main" id="{A52CB768-674A-447C-BE20-4590D3F9649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3068"/>
    <xdr:sp macro="" textlink="">
      <xdr:nvSpPr>
        <xdr:cNvPr id="2361" name="AutoShape 9">
          <a:extLst>
            <a:ext uri="{FF2B5EF4-FFF2-40B4-BE49-F238E27FC236}">
              <a16:creationId xmlns:a16="http://schemas.microsoft.com/office/drawing/2014/main" id="{55A616EE-78C6-47C4-92B5-599D6F489D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1"/>
    <xdr:sp macro="" textlink="">
      <xdr:nvSpPr>
        <xdr:cNvPr id="2362" name="AutoShape 10">
          <a:extLst>
            <a:ext uri="{FF2B5EF4-FFF2-40B4-BE49-F238E27FC236}">
              <a16:creationId xmlns:a16="http://schemas.microsoft.com/office/drawing/2014/main" id="{C87E17D9-7EFA-43D1-8959-BDD35F3A01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18996"/>
    <xdr:sp macro="" textlink="">
      <xdr:nvSpPr>
        <xdr:cNvPr id="2363" name="AutoShape 11">
          <a:extLst>
            <a:ext uri="{FF2B5EF4-FFF2-40B4-BE49-F238E27FC236}">
              <a16:creationId xmlns:a16="http://schemas.microsoft.com/office/drawing/2014/main" id="{E82D9FC1-B909-431D-B798-B979C085027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1"/>
    <xdr:sp macro="" textlink="">
      <xdr:nvSpPr>
        <xdr:cNvPr id="2364" name="AutoShape 12">
          <a:extLst>
            <a:ext uri="{FF2B5EF4-FFF2-40B4-BE49-F238E27FC236}">
              <a16:creationId xmlns:a16="http://schemas.microsoft.com/office/drawing/2014/main" id="{D8BF71BC-6A12-4213-9879-265B408641C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3068"/>
    <xdr:sp macro="" textlink="">
      <xdr:nvSpPr>
        <xdr:cNvPr id="2365" name="AutoShape 14">
          <a:extLst>
            <a:ext uri="{FF2B5EF4-FFF2-40B4-BE49-F238E27FC236}">
              <a16:creationId xmlns:a16="http://schemas.microsoft.com/office/drawing/2014/main" id="{DC9EF671-DAE6-46CC-B2EC-904B4B7A9D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18996"/>
    <xdr:sp macro="" textlink="">
      <xdr:nvSpPr>
        <xdr:cNvPr id="2366" name="AutoShape 15">
          <a:extLst>
            <a:ext uri="{FF2B5EF4-FFF2-40B4-BE49-F238E27FC236}">
              <a16:creationId xmlns:a16="http://schemas.microsoft.com/office/drawing/2014/main" id="{4755D3D6-956E-480F-A299-0DFB545742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67" name="AutoShape 16">
          <a:extLst>
            <a:ext uri="{FF2B5EF4-FFF2-40B4-BE49-F238E27FC236}">
              <a16:creationId xmlns:a16="http://schemas.microsoft.com/office/drawing/2014/main" id="{F474A3C4-9457-4A77-A00F-ADF4726F535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68" name="AutoShape 17">
          <a:extLst>
            <a:ext uri="{FF2B5EF4-FFF2-40B4-BE49-F238E27FC236}">
              <a16:creationId xmlns:a16="http://schemas.microsoft.com/office/drawing/2014/main" id="{CB6E57A5-57AE-44D7-A719-E93CBA3124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69" name="AutoShape 18">
          <a:extLst>
            <a:ext uri="{FF2B5EF4-FFF2-40B4-BE49-F238E27FC236}">
              <a16:creationId xmlns:a16="http://schemas.microsoft.com/office/drawing/2014/main" id="{274CD0D8-DF84-453F-A7A6-44E0BDB42BE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21032"/>
    <xdr:sp macro="" textlink="">
      <xdr:nvSpPr>
        <xdr:cNvPr id="2370" name="AutoShape 19">
          <a:extLst>
            <a:ext uri="{FF2B5EF4-FFF2-40B4-BE49-F238E27FC236}">
              <a16:creationId xmlns:a16="http://schemas.microsoft.com/office/drawing/2014/main" id="{A90483F0-6F0A-4865-99BD-6AE5B2E843A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136" cy="619868"/>
    <xdr:sp macro="" textlink="">
      <xdr:nvSpPr>
        <xdr:cNvPr id="2371" name="AutoShape 21">
          <a:extLst>
            <a:ext uri="{FF2B5EF4-FFF2-40B4-BE49-F238E27FC236}">
              <a16:creationId xmlns:a16="http://schemas.microsoft.com/office/drawing/2014/main" id="{8C3ADCEA-C0FE-4F0B-B24B-B0F32FAB80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45680010-5C1B-4AD2-810E-CE17D22832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18220"/>
    <xdr:sp macro="" textlink="">
      <xdr:nvSpPr>
        <xdr:cNvPr id="2373" name="AutoShape 2">
          <a:extLst>
            <a:ext uri="{FF2B5EF4-FFF2-40B4-BE49-F238E27FC236}">
              <a16:creationId xmlns:a16="http://schemas.microsoft.com/office/drawing/2014/main" id="{8A606C01-7C6D-4A3C-B23E-A15666EE987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74" name="AutoShape 5">
          <a:extLst>
            <a:ext uri="{FF2B5EF4-FFF2-40B4-BE49-F238E27FC236}">
              <a16:creationId xmlns:a16="http://schemas.microsoft.com/office/drawing/2014/main" id="{3BA6A930-5AB0-4BB2-9C9F-D9EF1F2500B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953"/>
    <xdr:sp macro="" textlink="">
      <xdr:nvSpPr>
        <xdr:cNvPr id="2375" name="AutoShape 6">
          <a:extLst>
            <a:ext uri="{FF2B5EF4-FFF2-40B4-BE49-F238E27FC236}">
              <a16:creationId xmlns:a16="http://schemas.microsoft.com/office/drawing/2014/main" id="{DCF7269E-6229-4F2C-97A3-20B8C53925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3067"/>
    <xdr:sp macro="" textlink="">
      <xdr:nvSpPr>
        <xdr:cNvPr id="2376" name="AutoShape 7">
          <a:extLst>
            <a:ext uri="{FF2B5EF4-FFF2-40B4-BE49-F238E27FC236}">
              <a16:creationId xmlns:a16="http://schemas.microsoft.com/office/drawing/2014/main" id="{A9B8379D-ACC9-429C-B253-A0D838DE17F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3068"/>
    <xdr:sp macro="" textlink="">
      <xdr:nvSpPr>
        <xdr:cNvPr id="2377" name="AutoShape 8">
          <a:extLst>
            <a:ext uri="{FF2B5EF4-FFF2-40B4-BE49-F238E27FC236}">
              <a16:creationId xmlns:a16="http://schemas.microsoft.com/office/drawing/2014/main" id="{82F13589-0A9B-4F8F-8BFE-FFF9894088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3068"/>
    <xdr:sp macro="" textlink="">
      <xdr:nvSpPr>
        <xdr:cNvPr id="2378" name="AutoShape 9">
          <a:extLst>
            <a:ext uri="{FF2B5EF4-FFF2-40B4-BE49-F238E27FC236}">
              <a16:creationId xmlns:a16="http://schemas.microsoft.com/office/drawing/2014/main" id="{BB8D48F6-B230-4057-ABF2-641EE18E476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1"/>
    <xdr:sp macro="" textlink="">
      <xdr:nvSpPr>
        <xdr:cNvPr id="2379" name="AutoShape 10">
          <a:extLst>
            <a:ext uri="{FF2B5EF4-FFF2-40B4-BE49-F238E27FC236}">
              <a16:creationId xmlns:a16="http://schemas.microsoft.com/office/drawing/2014/main" id="{D0C2909E-57F9-41A0-90FB-C8A2E9FCC82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18996"/>
    <xdr:sp macro="" textlink="">
      <xdr:nvSpPr>
        <xdr:cNvPr id="2380" name="AutoShape 11">
          <a:extLst>
            <a:ext uri="{FF2B5EF4-FFF2-40B4-BE49-F238E27FC236}">
              <a16:creationId xmlns:a16="http://schemas.microsoft.com/office/drawing/2014/main" id="{7DDC5BC1-F463-4A10-818A-8ACDDF7C095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1"/>
    <xdr:sp macro="" textlink="">
      <xdr:nvSpPr>
        <xdr:cNvPr id="2381" name="AutoShape 12">
          <a:extLst>
            <a:ext uri="{FF2B5EF4-FFF2-40B4-BE49-F238E27FC236}">
              <a16:creationId xmlns:a16="http://schemas.microsoft.com/office/drawing/2014/main" id="{1EB4A89F-A9AA-4054-B79F-8DB1ECC5C06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3068"/>
    <xdr:sp macro="" textlink="">
      <xdr:nvSpPr>
        <xdr:cNvPr id="2382" name="AutoShape 14">
          <a:extLst>
            <a:ext uri="{FF2B5EF4-FFF2-40B4-BE49-F238E27FC236}">
              <a16:creationId xmlns:a16="http://schemas.microsoft.com/office/drawing/2014/main" id="{DD454D23-45BD-408E-ACFD-C0A58EF7165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18996"/>
    <xdr:sp macro="" textlink="">
      <xdr:nvSpPr>
        <xdr:cNvPr id="2383" name="AutoShape 15">
          <a:extLst>
            <a:ext uri="{FF2B5EF4-FFF2-40B4-BE49-F238E27FC236}">
              <a16:creationId xmlns:a16="http://schemas.microsoft.com/office/drawing/2014/main" id="{24A7A39F-A8DC-45BA-92F5-39E7BB086A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84" name="AutoShape 16">
          <a:extLst>
            <a:ext uri="{FF2B5EF4-FFF2-40B4-BE49-F238E27FC236}">
              <a16:creationId xmlns:a16="http://schemas.microsoft.com/office/drawing/2014/main" id="{17A34C19-205E-46BE-B60E-E928D834CC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85" name="AutoShape 17">
          <a:extLst>
            <a:ext uri="{FF2B5EF4-FFF2-40B4-BE49-F238E27FC236}">
              <a16:creationId xmlns:a16="http://schemas.microsoft.com/office/drawing/2014/main" id="{BCAFD91C-9E77-411A-8D1E-6EF9FA770E1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86" name="AutoShape 18">
          <a:extLst>
            <a:ext uri="{FF2B5EF4-FFF2-40B4-BE49-F238E27FC236}">
              <a16:creationId xmlns:a16="http://schemas.microsoft.com/office/drawing/2014/main" id="{5880C358-182F-48C1-8292-9ED70223D9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21032"/>
    <xdr:sp macro="" textlink="">
      <xdr:nvSpPr>
        <xdr:cNvPr id="2387" name="AutoShape 19">
          <a:extLst>
            <a:ext uri="{FF2B5EF4-FFF2-40B4-BE49-F238E27FC236}">
              <a16:creationId xmlns:a16="http://schemas.microsoft.com/office/drawing/2014/main" id="{219C0FA0-C46F-4962-9710-6F50E979C66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136" cy="619868"/>
    <xdr:sp macro="" textlink="">
      <xdr:nvSpPr>
        <xdr:cNvPr id="2388" name="AutoShape 21">
          <a:extLst>
            <a:ext uri="{FF2B5EF4-FFF2-40B4-BE49-F238E27FC236}">
              <a16:creationId xmlns:a16="http://schemas.microsoft.com/office/drawing/2014/main" id="{CD9AC206-80C3-41FE-8615-25361F2A89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DC3D206F-3102-4793-83F7-0384A44789B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18220"/>
    <xdr:sp macro="" textlink="">
      <xdr:nvSpPr>
        <xdr:cNvPr id="2390" name="AutoShape 2">
          <a:extLst>
            <a:ext uri="{FF2B5EF4-FFF2-40B4-BE49-F238E27FC236}">
              <a16:creationId xmlns:a16="http://schemas.microsoft.com/office/drawing/2014/main" id="{E082F836-FF2F-4D3D-8885-9B60B747751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391" name="AutoShape 5">
          <a:extLst>
            <a:ext uri="{FF2B5EF4-FFF2-40B4-BE49-F238E27FC236}">
              <a16:creationId xmlns:a16="http://schemas.microsoft.com/office/drawing/2014/main" id="{85E135A4-EE70-442E-8406-A90F120A4C8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953"/>
    <xdr:sp macro="" textlink="">
      <xdr:nvSpPr>
        <xdr:cNvPr id="2392" name="AutoShape 6">
          <a:extLst>
            <a:ext uri="{FF2B5EF4-FFF2-40B4-BE49-F238E27FC236}">
              <a16:creationId xmlns:a16="http://schemas.microsoft.com/office/drawing/2014/main" id="{DE42AFD5-48A6-4C58-BD1B-AF870269141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3067"/>
    <xdr:sp macro="" textlink="">
      <xdr:nvSpPr>
        <xdr:cNvPr id="2393" name="AutoShape 7">
          <a:extLst>
            <a:ext uri="{FF2B5EF4-FFF2-40B4-BE49-F238E27FC236}">
              <a16:creationId xmlns:a16="http://schemas.microsoft.com/office/drawing/2014/main" id="{C3FFC698-82BF-4916-BF45-FAA0889A12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3068"/>
    <xdr:sp macro="" textlink="">
      <xdr:nvSpPr>
        <xdr:cNvPr id="2394" name="AutoShape 8">
          <a:extLst>
            <a:ext uri="{FF2B5EF4-FFF2-40B4-BE49-F238E27FC236}">
              <a16:creationId xmlns:a16="http://schemas.microsoft.com/office/drawing/2014/main" id="{2C542E77-1171-4859-845E-E9912974081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3068"/>
    <xdr:sp macro="" textlink="">
      <xdr:nvSpPr>
        <xdr:cNvPr id="2395" name="AutoShape 9">
          <a:extLst>
            <a:ext uri="{FF2B5EF4-FFF2-40B4-BE49-F238E27FC236}">
              <a16:creationId xmlns:a16="http://schemas.microsoft.com/office/drawing/2014/main" id="{10CECC7C-1BEF-4C82-8CAE-A31903751FA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1"/>
    <xdr:sp macro="" textlink="">
      <xdr:nvSpPr>
        <xdr:cNvPr id="2396" name="AutoShape 10">
          <a:extLst>
            <a:ext uri="{FF2B5EF4-FFF2-40B4-BE49-F238E27FC236}">
              <a16:creationId xmlns:a16="http://schemas.microsoft.com/office/drawing/2014/main" id="{CB5E473E-D490-4F3B-83F5-D7228B5954A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18996"/>
    <xdr:sp macro="" textlink="">
      <xdr:nvSpPr>
        <xdr:cNvPr id="2397" name="AutoShape 11">
          <a:extLst>
            <a:ext uri="{FF2B5EF4-FFF2-40B4-BE49-F238E27FC236}">
              <a16:creationId xmlns:a16="http://schemas.microsoft.com/office/drawing/2014/main" id="{09452966-12F7-49C4-B7A6-274E755C450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1"/>
    <xdr:sp macro="" textlink="">
      <xdr:nvSpPr>
        <xdr:cNvPr id="2398" name="AutoShape 12">
          <a:extLst>
            <a:ext uri="{FF2B5EF4-FFF2-40B4-BE49-F238E27FC236}">
              <a16:creationId xmlns:a16="http://schemas.microsoft.com/office/drawing/2014/main" id="{2A81FF3F-AF93-4111-96A5-37BF86264ED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3068"/>
    <xdr:sp macro="" textlink="">
      <xdr:nvSpPr>
        <xdr:cNvPr id="2399" name="AutoShape 14">
          <a:extLst>
            <a:ext uri="{FF2B5EF4-FFF2-40B4-BE49-F238E27FC236}">
              <a16:creationId xmlns:a16="http://schemas.microsoft.com/office/drawing/2014/main" id="{BB3363DD-549F-4C0B-8770-7B91D37F53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18996"/>
    <xdr:sp macro="" textlink="">
      <xdr:nvSpPr>
        <xdr:cNvPr id="2400" name="AutoShape 15">
          <a:extLst>
            <a:ext uri="{FF2B5EF4-FFF2-40B4-BE49-F238E27FC236}">
              <a16:creationId xmlns:a16="http://schemas.microsoft.com/office/drawing/2014/main" id="{2B04EFB5-98B2-4947-B83C-0B233D7B8DD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401" name="AutoShape 16">
          <a:extLst>
            <a:ext uri="{FF2B5EF4-FFF2-40B4-BE49-F238E27FC236}">
              <a16:creationId xmlns:a16="http://schemas.microsoft.com/office/drawing/2014/main" id="{AD657896-2C94-48A4-A434-C276A0ABF62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402" name="AutoShape 17">
          <a:extLst>
            <a:ext uri="{FF2B5EF4-FFF2-40B4-BE49-F238E27FC236}">
              <a16:creationId xmlns:a16="http://schemas.microsoft.com/office/drawing/2014/main" id="{8C9760CE-6FAF-4FC6-9564-B4DFC79D292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403" name="AutoShape 18">
          <a:extLst>
            <a:ext uri="{FF2B5EF4-FFF2-40B4-BE49-F238E27FC236}">
              <a16:creationId xmlns:a16="http://schemas.microsoft.com/office/drawing/2014/main" id="{FA642387-3409-4E02-9298-1183F5A15F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21032"/>
    <xdr:sp macro="" textlink="">
      <xdr:nvSpPr>
        <xdr:cNvPr id="2404" name="AutoShape 19">
          <a:extLst>
            <a:ext uri="{FF2B5EF4-FFF2-40B4-BE49-F238E27FC236}">
              <a16:creationId xmlns:a16="http://schemas.microsoft.com/office/drawing/2014/main" id="{6FD486A7-6055-410E-A8D2-35DD9D8F17F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136" cy="619868"/>
    <xdr:sp macro="" textlink="">
      <xdr:nvSpPr>
        <xdr:cNvPr id="2405" name="AutoShape 21">
          <a:extLst>
            <a:ext uri="{FF2B5EF4-FFF2-40B4-BE49-F238E27FC236}">
              <a16:creationId xmlns:a16="http://schemas.microsoft.com/office/drawing/2014/main" id="{60361C55-AE23-40A7-9185-FDDA35BC06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48504E8B-204A-4265-AB2B-1F666186AC3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18220"/>
    <xdr:sp macro="" textlink="">
      <xdr:nvSpPr>
        <xdr:cNvPr id="2407" name="AutoShape 2">
          <a:extLst>
            <a:ext uri="{FF2B5EF4-FFF2-40B4-BE49-F238E27FC236}">
              <a16:creationId xmlns:a16="http://schemas.microsoft.com/office/drawing/2014/main" id="{0E4CCCE1-BDB2-4FB8-B4FF-ABB02B763C1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08" name="AutoShape 5">
          <a:extLst>
            <a:ext uri="{FF2B5EF4-FFF2-40B4-BE49-F238E27FC236}">
              <a16:creationId xmlns:a16="http://schemas.microsoft.com/office/drawing/2014/main" id="{9115EFD6-F18B-484F-BE79-713E217F8F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953"/>
    <xdr:sp macro="" textlink="">
      <xdr:nvSpPr>
        <xdr:cNvPr id="2409" name="AutoShape 6">
          <a:extLst>
            <a:ext uri="{FF2B5EF4-FFF2-40B4-BE49-F238E27FC236}">
              <a16:creationId xmlns:a16="http://schemas.microsoft.com/office/drawing/2014/main" id="{C1C9D5E0-B94D-4753-9AEE-24B713DA14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3067"/>
    <xdr:sp macro="" textlink="">
      <xdr:nvSpPr>
        <xdr:cNvPr id="2410" name="AutoShape 7">
          <a:extLst>
            <a:ext uri="{FF2B5EF4-FFF2-40B4-BE49-F238E27FC236}">
              <a16:creationId xmlns:a16="http://schemas.microsoft.com/office/drawing/2014/main" id="{3F4066BF-6A69-41AB-9D34-E40173798F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3068"/>
    <xdr:sp macro="" textlink="">
      <xdr:nvSpPr>
        <xdr:cNvPr id="2411" name="AutoShape 8">
          <a:extLst>
            <a:ext uri="{FF2B5EF4-FFF2-40B4-BE49-F238E27FC236}">
              <a16:creationId xmlns:a16="http://schemas.microsoft.com/office/drawing/2014/main" id="{A5BD9446-7D2B-4628-B8F2-7CCCFD9B4BB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3068"/>
    <xdr:sp macro="" textlink="">
      <xdr:nvSpPr>
        <xdr:cNvPr id="2412" name="AutoShape 9">
          <a:extLst>
            <a:ext uri="{FF2B5EF4-FFF2-40B4-BE49-F238E27FC236}">
              <a16:creationId xmlns:a16="http://schemas.microsoft.com/office/drawing/2014/main" id="{78A014BA-D469-4AFE-97B2-AA3635374D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1"/>
    <xdr:sp macro="" textlink="">
      <xdr:nvSpPr>
        <xdr:cNvPr id="2413" name="AutoShape 10">
          <a:extLst>
            <a:ext uri="{FF2B5EF4-FFF2-40B4-BE49-F238E27FC236}">
              <a16:creationId xmlns:a16="http://schemas.microsoft.com/office/drawing/2014/main" id="{D5CAD907-443D-4560-A8AA-34541ED8C7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18996"/>
    <xdr:sp macro="" textlink="">
      <xdr:nvSpPr>
        <xdr:cNvPr id="2414" name="AutoShape 11">
          <a:extLst>
            <a:ext uri="{FF2B5EF4-FFF2-40B4-BE49-F238E27FC236}">
              <a16:creationId xmlns:a16="http://schemas.microsoft.com/office/drawing/2014/main" id="{337447DF-F6A7-41A3-94A5-60830E45424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1"/>
    <xdr:sp macro="" textlink="">
      <xdr:nvSpPr>
        <xdr:cNvPr id="2415" name="AutoShape 12">
          <a:extLst>
            <a:ext uri="{FF2B5EF4-FFF2-40B4-BE49-F238E27FC236}">
              <a16:creationId xmlns:a16="http://schemas.microsoft.com/office/drawing/2014/main" id="{694509DF-6319-4E2F-9CE8-F8188187A2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3068"/>
    <xdr:sp macro="" textlink="">
      <xdr:nvSpPr>
        <xdr:cNvPr id="2416" name="AutoShape 14">
          <a:extLst>
            <a:ext uri="{FF2B5EF4-FFF2-40B4-BE49-F238E27FC236}">
              <a16:creationId xmlns:a16="http://schemas.microsoft.com/office/drawing/2014/main" id="{B5AE5D13-1252-4B75-A7A8-3850299ED6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18996"/>
    <xdr:sp macro="" textlink="">
      <xdr:nvSpPr>
        <xdr:cNvPr id="2417" name="AutoShape 15">
          <a:extLst>
            <a:ext uri="{FF2B5EF4-FFF2-40B4-BE49-F238E27FC236}">
              <a16:creationId xmlns:a16="http://schemas.microsoft.com/office/drawing/2014/main" id="{73E81389-CEF5-4892-AB1F-CB18F8958C7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18" name="AutoShape 16">
          <a:extLst>
            <a:ext uri="{FF2B5EF4-FFF2-40B4-BE49-F238E27FC236}">
              <a16:creationId xmlns:a16="http://schemas.microsoft.com/office/drawing/2014/main" id="{C4CA064C-872A-498A-AF58-E9E1B0CB7A3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19" name="AutoShape 17">
          <a:extLst>
            <a:ext uri="{FF2B5EF4-FFF2-40B4-BE49-F238E27FC236}">
              <a16:creationId xmlns:a16="http://schemas.microsoft.com/office/drawing/2014/main" id="{BC297BAB-E502-4DD7-9E12-8992572855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20" name="AutoShape 18">
          <a:extLst>
            <a:ext uri="{FF2B5EF4-FFF2-40B4-BE49-F238E27FC236}">
              <a16:creationId xmlns:a16="http://schemas.microsoft.com/office/drawing/2014/main" id="{B031429E-A7CB-48F9-8E19-268674E745B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21032"/>
    <xdr:sp macro="" textlink="">
      <xdr:nvSpPr>
        <xdr:cNvPr id="2421" name="AutoShape 19">
          <a:extLst>
            <a:ext uri="{FF2B5EF4-FFF2-40B4-BE49-F238E27FC236}">
              <a16:creationId xmlns:a16="http://schemas.microsoft.com/office/drawing/2014/main" id="{54548543-B9DE-4C06-B7CF-62D7BC17AF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136" cy="619868"/>
    <xdr:sp macro="" textlink="">
      <xdr:nvSpPr>
        <xdr:cNvPr id="2422" name="AutoShape 21">
          <a:extLst>
            <a:ext uri="{FF2B5EF4-FFF2-40B4-BE49-F238E27FC236}">
              <a16:creationId xmlns:a16="http://schemas.microsoft.com/office/drawing/2014/main" id="{4F22B7F1-05C9-4F01-8E66-0C50319A0A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ED393363-254A-4DCE-A53D-81647CB888F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18220"/>
    <xdr:sp macro="" textlink="">
      <xdr:nvSpPr>
        <xdr:cNvPr id="2424" name="AutoShape 2">
          <a:extLst>
            <a:ext uri="{FF2B5EF4-FFF2-40B4-BE49-F238E27FC236}">
              <a16:creationId xmlns:a16="http://schemas.microsoft.com/office/drawing/2014/main" id="{43F74EBB-D693-48FA-A4C9-ED16D8562A0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25" name="AutoShape 5">
          <a:extLst>
            <a:ext uri="{FF2B5EF4-FFF2-40B4-BE49-F238E27FC236}">
              <a16:creationId xmlns:a16="http://schemas.microsoft.com/office/drawing/2014/main" id="{3725E344-5652-469F-8529-AEEC698210F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953"/>
    <xdr:sp macro="" textlink="">
      <xdr:nvSpPr>
        <xdr:cNvPr id="2426" name="AutoShape 6">
          <a:extLst>
            <a:ext uri="{FF2B5EF4-FFF2-40B4-BE49-F238E27FC236}">
              <a16:creationId xmlns:a16="http://schemas.microsoft.com/office/drawing/2014/main" id="{7F083864-1745-43AF-B1F1-88D68A1FCD7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3067"/>
    <xdr:sp macro="" textlink="">
      <xdr:nvSpPr>
        <xdr:cNvPr id="2427" name="AutoShape 7">
          <a:extLst>
            <a:ext uri="{FF2B5EF4-FFF2-40B4-BE49-F238E27FC236}">
              <a16:creationId xmlns:a16="http://schemas.microsoft.com/office/drawing/2014/main" id="{9767A0CA-B546-423F-91AC-C09837AAD0A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3068"/>
    <xdr:sp macro="" textlink="">
      <xdr:nvSpPr>
        <xdr:cNvPr id="2428" name="AutoShape 8">
          <a:extLst>
            <a:ext uri="{FF2B5EF4-FFF2-40B4-BE49-F238E27FC236}">
              <a16:creationId xmlns:a16="http://schemas.microsoft.com/office/drawing/2014/main" id="{D18F6A4B-D61B-415B-809B-BDF1BFD60B6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3068"/>
    <xdr:sp macro="" textlink="">
      <xdr:nvSpPr>
        <xdr:cNvPr id="2429" name="AutoShape 9">
          <a:extLst>
            <a:ext uri="{FF2B5EF4-FFF2-40B4-BE49-F238E27FC236}">
              <a16:creationId xmlns:a16="http://schemas.microsoft.com/office/drawing/2014/main" id="{A7C2AC23-ABE2-4A9C-8810-750219A2CD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1"/>
    <xdr:sp macro="" textlink="">
      <xdr:nvSpPr>
        <xdr:cNvPr id="2430" name="AutoShape 10">
          <a:extLst>
            <a:ext uri="{FF2B5EF4-FFF2-40B4-BE49-F238E27FC236}">
              <a16:creationId xmlns:a16="http://schemas.microsoft.com/office/drawing/2014/main" id="{E0315C88-53CB-4757-88C8-16BF0FD379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18996"/>
    <xdr:sp macro="" textlink="">
      <xdr:nvSpPr>
        <xdr:cNvPr id="2431" name="AutoShape 11">
          <a:extLst>
            <a:ext uri="{FF2B5EF4-FFF2-40B4-BE49-F238E27FC236}">
              <a16:creationId xmlns:a16="http://schemas.microsoft.com/office/drawing/2014/main" id="{CB18D27F-4131-4C5B-AFA7-733CAADBA8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1"/>
    <xdr:sp macro="" textlink="">
      <xdr:nvSpPr>
        <xdr:cNvPr id="2432" name="AutoShape 12">
          <a:extLst>
            <a:ext uri="{FF2B5EF4-FFF2-40B4-BE49-F238E27FC236}">
              <a16:creationId xmlns:a16="http://schemas.microsoft.com/office/drawing/2014/main" id="{FADE22D6-1D34-4B40-8CE2-EC2F66CCC76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3068"/>
    <xdr:sp macro="" textlink="">
      <xdr:nvSpPr>
        <xdr:cNvPr id="2433" name="AutoShape 14">
          <a:extLst>
            <a:ext uri="{FF2B5EF4-FFF2-40B4-BE49-F238E27FC236}">
              <a16:creationId xmlns:a16="http://schemas.microsoft.com/office/drawing/2014/main" id="{2DF1E9E6-B44C-4800-9CD1-4C3D68128E2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18996"/>
    <xdr:sp macro="" textlink="">
      <xdr:nvSpPr>
        <xdr:cNvPr id="2434" name="AutoShape 15">
          <a:extLst>
            <a:ext uri="{FF2B5EF4-FFF2-40B4-BE49-F238E27FC236}">
              <a16:creationId xmlns:a16="http://schemas.microsoft.com/office/drawing/2014/main" id="{626A6B5D-C141-4A8E-9B60-E7D962A8507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35" name="AutoShape 16">
          <a:extLst>
            <a:ext uri="{FF2B5EF4-FFF2-40B4-BE49-F238E27FC236}">
              <a16:creationId xmlns:a16="http://schemas.microsoft.com/office/drawing/2014/main" id="{35E3A0FE-CEDF-479A-A546-3575D43B0EE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36" name="AutoShape 17">
          <a:extLst>
            <a:ext uri="{FF2B5EF4-FFF2-40B4-BE49-F238E27FC236}">
              <a16:creationId xmlns:a16="http://schemas.microsoft.com/office/drawing/2014/main" id="{9827A8B6-437F-4426-B0E7-C74D88CB8A9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37" name="AutoShape 18">
          <a:extLst>
            <a:ext uri="{FF2B5EF4-FFF2-40B4-BE49-F238E27FC236}">
              <a16:creationId xmlns:a16="http://schemas.microsoft.com/office/drawing/2014/main" id="{B36C1D55-483A-4C57-9AAA-B38F037D2E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21032"/>
    <xdr:sp macro="" textlink="">
      <xdr:nvSpPr>
        <xdr:cNvPr id="2438" name="AutoShape 19">
          <a:extLst>
            <a:ext uri="{FF2B5EF4-FFF2-40B4-BE49-F238E27FC236}">
              <a16:creationId xmlns:a16="http://schemas.microsoft.com/office/drawing/2014/main" id="{BB3B5D3C-EFEE-4310-A39F-04BC77E183E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136" cy="619868"/>
    <xdr:sp macro="" textlink="">
      <xdr:nvSpPr>
        <xdr:cNvPr id="2439" name="AutoShape 21">
          <a:extLst>
            <a:ext uri="{FF2B5EF4-FFF2-40B4-BE49-F238E27FC236}">
              <a16:creationId xmlns:a16="http://schemas.microsoft.com/office/drawing/2014/main" id="{D9CB5645-7472-43B3-87A4-C7220765DAF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B28BBEA5-A8D3-465A-B168-090B728CC1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18220"/>
    <xdr:sp macro="" textlink="">
      <xdr:nvSpPr>
        <xdr:cNvPr id="2441" name="AutoShape 2">
          <a:extLst>
            <a:ext uri="{FF2B5EF4-FFF2-40B4-BE49-F238E27FC236}">
              <a16:creationId xmlns:a16="http://schemas.microsoft.com/office/drawing/2014/main" id="{AA9AA887-225D-42D0-8A19-588EECD916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42" name="AutoShape 5">
          <a:extLst>
            <a:ext uri="{FF2B5EF4-FFF2-40B4-BE49-F238E27FC236}">
              <a16:creationId xmlns:a16="http://schemas.microsoft.com/office/drawing/2014/main" id="{726530C2-5E7C-4A82-848D-F3D424EC7C0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953"/>
    <xdr:sp macro="" textlink="">
      <xdr:nvSpPr>
        <xdr:cNvPr id="2443" name="AutoShape 6">
          <a:extLst>
            <a:ext uri="{FF2B5EF4-FFF2-40B4-BE49-F238E27FC236}">
              <a16:creationId xmlns:a16="http://schemas.microsoft.com/office/drawing/2014/main" id="{FFF75EF4-D53F-40E3-8667-E5F2900748B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3067"/>
    <xdr:sp macro="" textlink="">
      <xdr:nvSpPr>
        <xdr:cNvPr id="2444" name="AutoShape 7">
          <a:extLst>
            <a:ext uri="{FF2B5EF4-FFF2-40B4-BE49-F238E27FC236}">
              <a16:creationId xmlns:a16="http://schemas.microsoft.com/office/drawing/2014/main" id="{DC247038-F309-467B-9CF1-0803CBCDA35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3068"/>
    <xdr:sp macro="" textlink="">
      <xdr:nvSpPr>
        <xdr:cNvPr id="2445" name="AutoShape 8">
          <a:extLst>
            <a:ext uri="{FF2B5EF4-FFF2-40B4-BE49-F238E27FC236}">
              <a16:creationId xmlns:a16="http://schemas.microsoft.com/office/drawing/2014/main" id="{55C2C756-F44D-4B96-9DAE-104C3B31E95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3068"/>
    <xdr:sp macro="" textlink="">
      <xdr:nvSpPr>
        <xdr:cNvPr id="2446" name="AutoShape 9">
          <a:extLst>
            <a:ext uri="{FF2B5EF4-FFF2-40B4-BE49-F238E27FC236}">
              <a16:creationId xmlns:a16="http://schemas.microsoft.com/office/drawing/2014/main" id="{92F6CDCE-2C50-47E6-A11E-B25ED6BE07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1"/>
    <xdr:sp macro="" textlink="">
      <xdr:nvSpPr>
        <xdr:cNvPr id="2447" name="AutoShape 10">
          <a:extLst>
            <a:ext uri="{FF2B5EF4-FFF2-40B4-BE49-F238E27FC236}">
              <a16:creationId xmlns:a16="http://schemas.microsoft.com/office/drawing/2014/main" id="{033A0865-3A2D-4381-AF3A-65E4910D59C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18996"/>
    <xdr:sp macro="" textlink="">
      <xdr:nvSpPr>
        <xdr:cNvPr id="2448" name="AutoShape 11">
          <a:extLst>
            <a:ext uri="{FF2B5EF4-FFF2-40B4-BE49-F238E27FC236}">
              <a16:creationId xmlns:a16="http://schemas.microsoft.com/office/drawing/2014/main" id="{DCD2A727-7D06-438B-8FE0-E88F6B113F5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1"/>
    <xdr:sp macro="" textlink="">
      <xdr:nvSpPr>
        <xdr:cNvPr id="2449" name="AutoShape 12">
          <a:extLst>
            <a:ext uri="{FF2B5EF4-FFF2-40B4-BE49-F238E27FC236}">
              <a16:creationId xmlns:a16="http://schemas.microsoft.com/office/drawing/2014/main" id="{DDD4F2A7-B2F5-4D81-B1F8-BD3486F1DBE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3068"/>
    <xdr:sp macro="" textlink="">
      <xdr:nvSpPr>
        <xdr:cNvPr id="2450" name="AutoShape 14">
          <a:extLst>
            <a:ext uri="{FF2B5EF4-FFF2-40B4-BE49-F238E27FC236}">
              <a16:creationId xmlns:a16="http://schemas.microsoft.com/office/drawing/2014/main" id="{9E1A86AF-6BD7-4674-8AC1-43D8C2B6450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18996"/>
    <xdr:sp macro="" textlink="">
      <xdr:nvSpPr>
        <xdr:cNvPr id="2451" name="AutoShape 15">
          <a:extLst>
            <a:ext uri="{FF2B5EF4-FFF2-40B4-BE49-F238E27FC236}">
              <a16:creationId xmlns:a16="http://schemas.microsoft.com/office/drawing/2014/main" id="{A62D1AB5-76A0-4FA1-8B58-005BC6883E1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52" name="AutoShape 16">
          <a:extLst>
            <a:ext uri="{FF2B5EF4-FFF2-40B4-BE49-F238E27FC236}">
              <a16:creationId xmlns:a16="http://schemas.microsoft.com/office/drawing/2014/main" id="{CC311C91-7329-46D4-B24F-5A19FD9ECCE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53" name="AutoShape 17">
          <a:extLst>
            <a:ext uri="{FF2B5EF4-FFF2-40B4-BE49-F238E27FC236}">
              <a16:creationId xmlns:a16="http://schemas.microsoft.com/office/drawing/2014/main" id="{E824083A-8686-45CA-A011-4C115F82E92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54" name="AutoShape 18">
          <a:extLst>
            <a:ext uri="{FF2B5EF4-FFF2-40B4-BE49-F238E27FC236}">
              <a16:creationId xmlns:a16="http://schemas.microsoft.com/office/drawing/2014/main" id="{576C75F5-EC81-4ECD-8387-9BBE5F73AD4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21032"/>
    <xdr:sp macro="" textlink="">
      <xdr:nvSpPr>
        <xdr:cNvPr id="2455" name="AutoShape 19">
          <a:extLst>
            <a:ext uri="{FF2B5EF4-FFF2-40B4-BE49-F238E27FC236}">
              <a16:creationId xmlns:a16="http://schemas.microsoft.com/office/drawing/2014/main" id="{06DB144D-0354-420E-A183-51B7054A33E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136" cy="619868"/>
    <xdr:sp macro="" textlink="">
      <xdr:nvSpPr>
        <xdr:cNvPr id="2456" name="AutoShape 21">
          <a:extLst>
            <a:ext uri="{FF2B5EF4-FFF2-40B4-BE49-F238E27FC236}">
              <a16:creationId xmlns:a16="http://schemas.microsoft.com/office/drawing/2014/main" id="{24F79F4D-AC79-44CE-89E2-E00608105B1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6C683BA3-D35E-46FB-AFFE-82748B35321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18220"/>
    <xdr:sp macro="" textlink="">
      <xdr:nvSpPr>
        <xdr:cNvPr id="2458" name="AutoShape 2">
          <a:extLst>
            <a:ext uri="{FF2B5EF4-FFF2-40B4-BE49-F238E27FC236}">
              <a16:creationId xmlns:a16="http://schemas.microsoft.com/office/drawing/2014/main" id="{830037FB-0C7D-4199-9947-56D5975D7E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59" name="AutoShape 5">
          <a:extLst>
            <a:ext uri="{FF2B5EF4-FFF2-40B4-BE49-F238E27FC236}">
              <a16:creationId xmlns:a16="http://schemas.microsoft.com/office/drawing/2014/main" id="{E0255400-632D-455F-807E-7217C314CB1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953"/>
    <xdr:sp macro="" textlink="">
      <xdr:nvSpPr>
        <xdr:cNvPr id="2460" name="AutoShape 6">
          <a:extLst>
            <a:ext uri="{FF2B5EF4-FFF2-40B4-BE49-F238E27FC236}">
              <a16:creationId xmlns:a16="http://schemas.microsoft.com/office/drawing/2014/main" id="{3E51590D-9201-421B-8CE1-C84A97C6C78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3067"/>
    <xdr:sp macro="" textlink="">
      <xdr:nvSpPr>
        <xdr:cNvPr id="2461" name="AutoShape 7">
          <a:extLst>
            <a:ext uri="{FF2B5EF4-FFF2-40B4-BE49-F238E27FC236}">
              <a16:creationId xmlns:a16="http://schemas.microsoft.com/office/drawing/2014/main" id="{81168444-0D06-410C-8905-615006138CD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3068"/>
    <xdr:sp macro="" textlink="">
      <xdr:nvSpPr>
        <xdr:cNvPr id="2462" name="AutoShape 8">
          <a:extLst>
            <a:ext uri="{FF2B5EF4-FFF2-40B4-BE49-F238E27FC236}">
              <a16:creationId xmlns:a16="http://schemas.microsoft.com/office/drawing/2014/main" id="{D76C018B-CAB1-4788-BB6E-E30638652F4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3068"/>
    <xdr:sp macro="" textlink="">
      <xdr:nvSpPr>
        <xdr:cNvPr id="2463" name="AutoShape 9">
          <a:extLst>
            <a:ext uri="{FF2B5EF4-FFF2-40B4-BE49-F238E27FC236}">
              <a16:creationId xmlns:a16="http://schemas.microsoft.com/office/drawing/2014/main" id="{9927DC55-B652-4BF3-BF02-FBD6A8FDE8D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1"/>
    <xdr:sp macro="" textlink="">
      <xdr:nvSpPr>
        <xdr:cNvPr id="2464" name="AutoShape 10">
          <a:extLst>
            <a:ext uri="{FF2B5EF4-FFF2-40B4-BE49-F238E27FC236}">
              <a16:creationId xmlns:a16="http://schemas.microsoft.com/office/drawing/2014/main" id="{10F6BA14-3551-45C3-9816-C648A31CA4C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18996"/>
    <xdr:sp macro="" textlink="">
      <xdr:nvSpPr>
        <xdr:cNvPr id="2465" name="AutoShape 11">
          <a:extLst>
            <a:ext uri="{FF2B5EF4-FFF2-40B4-BE49-F238E27FC236}">
              <a16:creationId xmlns:a16="http://schemas.microsoft.com/office/drawing/2014/main" id="{C0F334DF-27F1-4B50-AEB5-720314CF620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1"/>
    <xdr:sp macro="" textlink="">
      <xdr:nvSpPr>
        <xdr:cNvPr id="2466" name="AutoShape 12">
          <a:extLst>
            <a:ext uri="{FF2B5EF4-FFF2-40B4-BE49-F238E27FC236}">
              <a16:creationId xmlns:a16="http://schemas.microsoft.com/office/drawing/2014/main" id="{A1B8C921-EC6D-40CF-AE9E-5FE3DB67143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3068"/>
    <xdr:sp macro="" textlink="">
      <xdr:nvSpPr>
        <xdr:cNvPr id="2467" name="AutoShape 14">
          <a:extLst>
            <a:ext uri="{FF2B5EF4-FFF2-40B4-BE49-F238E27FC236}">
              <a16:creationId xmlns:a16="http://schemas.microsoft.com/office/drawing/2014/main" id="{A6EDC32A-EFFC-466B-8CE6-8863B3E47ED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18996"/>
    <xdr:sp macro="" textlink="">
      <xdr:nvSpPr>
        <xdr:cNvPr id="2468" name="AutoShape 15">
          <a:extLst>
            <a:ext uri="{FF2B5EF4-FFF2-40B4-BE49-F238E27FC236}">
              <a16:creationId xmlns:a16="http://schemas.microsoft.com/office/drawing/2014/main" id="{9F2C9E7E-A42F-4E01-AEF1-C89C19C3F1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69" name="AutoShape 16">
          <a:extLst>
            <a:ext uri="{FF2B5EF4-FFF2-40B4-BE49-F238E27FC236}">
              <a16:creationId xmlns:a16="http://schemas.microsoft.com/office/drawing/2014/main" id="{AC10D5DC-7F93-475A-915D-9F3767FE368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70" name="AutoShape 17">
          <a:extLst>
            <a:ext uri="{FF2B5EF4-FFF2-40B4-BE49-F238E27FC236}">
              <a16:creationId xmlns:a16="http://schemas.microsoft.com/office/drawing/2014/main" id="{6671A021-E16F-43C4-9D2F-933153EDD6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71" name="AutoShape 18">
          <a:extLst>
            <a:ext uri="{FF2B5EF4-FFF2-40B4-BE49-F238E27FC236}">
              <a16:creationId xmlns:a16="http://schemas.microsoft.com/office/drawing/2014/main" id="{FDCC94B8-E614-4C3D-A517-3A4769ABBA3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136" cy="621032"/>
    <xdr:sp macro="" textlink="">
      <xdr:nvSpPr>
        <xdr:cNvPr id="2472" name="AutoShape 19">
          <a:extLst>
            <a:ext uri="{FF2B5EF4-FFF2-40B4-BE49-F238E27FC236}">
              <a16:creationId xmlns:a16="http://schemas.microsoft.com/office/drawing/2014/main" id="{187F5B26-50F4-4525-9CF4-F1C450CCEEF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456FC31E-5CAF-4FF2-A2D3-6F8670FAA5E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18220"/>
    <xdr:sp macro="" textlink="">
      <xdr:nvSpPr>
        <xdr:cNvPr id="2475" name="AutoShape 2">
          <a:extLst>
            <a:ext uri="{FF2B5EF4-FFF2-40B4-BE49-F238E27FC236}">
              <a16:creationId xmlns:a16="http://schemas.microsoft.com/office/drawing/2014/main" id="{A8F06124-461A-4ED5-9E98-44C53D47AB6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76" name="AutoShape 5">
          <a:extLst>
            <a:ext uri="{FF2B5EF4-FFF2-40B4-BE49-F238E27FC236}">
              <a16:creationId xmlns:a16="http://schemas.microsoft.com/office/drawing/2014/main" id="{DE45169B-68B9-4C81-8AEF-84621D36AD7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953"/>
    <xdr:sp macro="" textlink="">
      <xdr:nvSpPr>
        <xdr:cNvPr id="2477" name="AutoShape 6">
          <a:extLst>
            <a:ext uri="{FF2B5EF4-FFF2-40B4-BE49-F238E27FC236}">
              <a16:creationId xmlns:a16="http://schemas.microsoft.com/office/drawing/2014/main" id="{E6C01D92-B391-4C76-A5BE-CA30E31034D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3067"/>
    <xdr:sp macro="" textlink="">
      <xdr:nvSpPr>
        <xdr:cNvPr id="2478" name="AutoShape 7">
          <a:extLst>
            <a:ext uri="{FF2B5EF4-FFF2-40B4-BE49-F238E27FC236}">
              <a16:creationId xmlns:a16="http://schemas.microsoft.com/office/drawing/2014/main" id="{5FBEA569-0FA7-4A6D-B9F3-ED4E4A6CEC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3068"/>
    <xdr:sp macro="" textlink="">
      <xdr:nvSpPr>
        <xdr:cNvPr id="2479" name="AutoShape 8">
          <a:extLst>
            <a:ext uri="{FF2B5EF4-FFF2-40B4-BE49-F238E27FC236}">
              <a16:creationId xmlns:a16="http://schemas.microsoft.com/office/drawing/2014/main" id="{2CE31114-9A7D-4E25-B876-8EE330FBAD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3068"/>
    <xdr:sp macro="" textlink="">
      <xdr:nvSpPr>
        <xdr:cNvPr id="2480" name="AutoShape 9">
          <a:extLst>
            <a:ext uri="{FF2B5EF4-FFF2-40B4-BE49-F238E27FC236}">
              <a16:creationId xmlns:a16="http://schemas.microsoft.com/office/drawing/2014/main" id="{CED949A4-7590-40BB-9B54-7DF4537EB29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1"/>
    <xdr:sp macro="" textlink="">
      <xdr:nvSpPr>
        <xdr:cNvPr id="2481" name="AutoShape 10">
          <a:extLst>
            <a:ext uri="{FF2B5EF4-FFF2-40B4-BE49-F238E27FC236}">
              <a16:creationId xmlns:a16="http://schemas.microsoft.com/office/drawing/2014/main" id="{3BA4388C-7C23-47F8-B65F-5A22E02B94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18996"/>
    <xdr:sp macro="" textlink="">
      <xdr:nvSpPr>
        <xdr:cNvPr id="2482" name="AutoShape 11">
          <a:extLst>
            <a:ext uri="{FF2B5EF4-FFF2-40B4-BE49-F238E27FC236}">
              <a16:creationId xmlns:a16="http://schemas.microsoft.com/office/drawing/2014/main" id="{D923F2DD-DBB6-48B6-B3BC-B9016795C5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1"/>
    <xdr:sp macro="" textlink="">
      <xdr:nvSpPr>
        <xdr:cNvPr id="2483" name="AutoShape 12">
          <a:extLst>
            <a:ext uri="{FF2B5EF4-FFF2-40B4-BE49-F238E27FC236}">
              <a16:creationId xmlns:a16="http://schemas.microsoft.com/office/drawing/2014/main" id="{9E10EF8F-CE25-41AD-A5A0-4D813CB01FE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3068"/>
    <xdr:sp macro="" textlink="">
      <xdr:nvSpPr>
        <xdr:cNvPr id="2484" name="AutoShape 14">
          <a:extLst>
            <a:ext uri="{FF2B5EF4-FFF2-40B4-BE49-F238E27FC236}">
              <a16:creationId xmlns:a16="http://schemas.microsoft.com/office/drawing/2014/main" id="{28B61CE7-A6A4-4BDF-93AE-6C58B5EF66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18996"/>
    <xdr:sp macro="" textlink="">
      <xdr:nvSpPr>
        <xdr:cNvPr id="2485" name="AutoShape 15">
          <a:extLst>
            <a:ext uri="{FF2B5EF4-FFF2-40B4-BE49-F238E27FC236}">
              <a16:creationId xmlns:a16="http://schemas.microsoft.com/office/drawing/2014/main" id="{7774D6BF-6DCB-405E-A192-4EE4C35646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86" name="AutoShape 16">
          <a:extLst>
            <a:ext uri="{FF2B5EF4-FFF2-40B4-BE49-F238E27FC236}">
              <a16:creationId xmlns:a16="http://schemas.microsoft.com/office/drawing/2014/main" id="{8AD19022-FBF7-4F75-9594-2DBF8B39F2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87" name="AutoShape 17">
          <a:extLst>
            <a:ext uri="{FF2B5EF4-FFF2-40B4-BE49-F238E27FC236}">
              <a16:creationId xmlns:a16="http://schemas.microsoft.com/office/drawing/2014/main" id="{D73F202E-8B7C-4DDF-B732-FA1F4E8C1CF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88" name="AutoShape 18">
          <a:extLst>
            <a:ext uri="{FF2B5EF4-FFF2-40B4-BE49-F238E27FC236}">
              <a16:creationId xmlns:a16="http://schemas.microsoft.com/office/drawing/2014/main" id="{802F6A93-B01C-47F3-AC40-C3447BE18F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21032"/>
    <xdr:sp macro="" textlink="">
      <xdr:nvSpPr>
        <xdr:cNvPr id="2489" name="AutoShape 19">
          <a:extLst>
            <a:ext uri="{FF2B5EF4-FFF2-40B4-BE49-F238E27FC236}">
              <a16:creationId xmlns:a16="http://schemas.microsoft.com/office/drawing/2014/main" id="{1F668656-7F16-49CE-A3AC-A130F3485AC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136" cy="619868"/>
    <xdr:sp macro="" textlink="">
      <xdr:nvSpPr>
        <xdr:cNvPr id="2490" name="AutoShape 21">
          <a:extLst>
            <a:ext uri="{FF2B5EF4-FFF2-40B4-BE49-F238E27FC236}">
              <a16:creationId xmlns:a16="http://schemas.microsoft.com/office/drawing/2014/main" id="{0AA1DCF3-6BBB-4E6C-A941-88CF80268C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114429CC-E76B-4886-9E9B-B7CCD8CD15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18220"/>
    <xdr:sp macro="" textlink="">
      <xdr:nvSpPr>
        <xdr:cNvPr id="2492" name="AutoShape 2">
          <a:extLst>
            <a:ext uri="{FF2B5EF4-FFF2-40B4-BE49-F238E27FC236}">
              <a16:creationId xmlns:a16="http://schemas.microsoft.com/office/drawing/2014/main" id="{4C4185B7-C61A-4CC0-BFAF-63B5F45539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493" name="AutoShape 5">
          <a:extLst>
            <a:ext uri="{FF2B5EF4-FFF2-40B4-BE49-F238E27FC236}">
              <a16:creationId xmlns:a16="http://schemas.microsoft.com/office/drawing/2014/main" id="{48E3B3DF-1E6E-4489-9DA6-C2FA07F43B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953"/>
    <xdr:sp macro="" textlink="">
      <xdr:nvSpPr>
        <xdr:cNvPr id="2494" name="AutoShape 6">
          <a:extLst>
            <a:ext uri="{FF2B5EF4-FFF2-40B4-BE49-F238E27FC236}">
              <a16:creationId xmlns:a16="http://schemas.microsoft.com/office/drawing/2014/main" id="{5CF2C99A-311E-41C7-B11D-C032D6BB5E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3067"/>
    <xdr:sp macro="" textlink="">
      <xdr:nvSpPr>
        <xdr:cNvPr id="2495" name="AutoShape 7">
          <a:extLst>
            <a:ext uri="{FF2B5EF4-FFF2-40B4-BE49-F238E27FC236}">
              <a16:creationId xmlns:a16="http://schemas.microsoft.com/office/drawing/2014/main" id="{9D96A315-00A8-477E-B4E1-68C61A86E6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3068"/>
    <xdr:sp macro="" textlink="">
      <xdr:nvSpPr>
        <xdr:cNvPr id="2496" name="AutoShape 8">
          <a:extLst>
            <a:ext uri="{FF2B5EF4-FFF2-40B4-BE49-F238E27FC236}">
              <a16:creationId xmlns:a16="http://schemas.microsoft.com/office/drawing/2014/main" id="{65C6F4A1-F25E-4499-83E1-98C02F7CE85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3068"/>
    <xdr:sp macro="" textlink="">
      <xdr:nvSpPr>
        <xdr:cNvPr id="2497" name="AutoShape 9">
          <a:extLst>
            <a:ext uri="{FF2B5EF4-FFF2-40B4-BE49-F238E27FC236}">
              <a16:creationId xmlns:a16="http://schemas.microsoft.com/office/drawing/2014/main" id="{58B72B9C-612F-4983-BAA0-FC5FDED5EE7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1"/>
    <xdr:sp macro="" textlink="">
      <xdr:nvSpPr>
        <xdr:cNvPr id="2498" name="AutoShape 10">
          <a:extLst>
            <a:ext uri="{FF2B5EF4-FFF2-40B4-BE49-F238E27FC236}">
              <a16:creationId xmlns:a16="http://schemas.microsoft.com/office/drawing/2014/main" id="{BE39FFDC-BDA1-44CC-9D84-A2106F7C984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18996"/>
    <xdr:sp macro="" textlink="">
      <xdr:nvSpPr>
        <xdr:cNvPr id="2499" name="AutoShape 11">
          <a:extLst>
            <a:ext uri="{FF2B5EF4-FFF2-40B4-BE49-F238E27FC236}">
              <a16:creationId xmlns:a16="http://schemas.microsoft.com/office/drawing/2014/main" id="{238ED496-CFB8-4D38-9324-862E0CF2B6F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1"/>
    <xdr:sp macro="" textlink="">
      <xdr:nvSpPr>
        <xdr:cNvPr id="2500" name="AutoShape 12">
          <a:extLst>
            <a:ext uri="{FF2B5EF4-FFF2-40B4-BE49-F238E27FC236}">
              <a16:creationId xmlns:a16="http://schemas.microsoft.com/office/drawing/2014/main" id="{2D66BB3F-0E0C-4B27-B640-D9393CAE540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3068"/>
    <xdr:sp macro="" textlink="">
      <xdr:nvSpPr>
        <xdr:cNvPr id="2501" name="AutoShape 14">
          <a:extLst>
            <a:ext uri="{FF2B5EF4-FFF2-40B4-BE49-F238E27FC236}">
              <a16:creationId xmlns:a16="http://schemas.microsoft.com/office/drawing/2014/main" id="{0E61E7DE-4E2F-4139-9038-BDAB11A75E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18996"/>
    <xdr:sp macro="" textlink="">
      <xdr:nvSpPr>
        <xdr:cNvPr id="2502" name="AutoShape 15">
          <a:extLst>
            <a:ext uri="{FF2B5EF4-FFF2-40B4-BE49-F238E27FC236}">
              <a16:creationId xmlns:a16="http://schemas.microsoft.com/office/drawing/2014/main" id="{4F3E7C29-96E8-4CCC-8918-8925E8C0CA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503" name="AutoShape 16">
          <a:extLst>
            <a:ext uri="{FF2B5EF4-FFF2-40B4-BE49-F238E27FC236}">
              <a16:creationId xmlns:a16="http://schemas.microsoft.com/office/drawing/2014/main" id="{EA72E1B1-A79B-4363-BF6A-412B2DA05AF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504" name="AutoShape 17">
          <a:extLst>
            <a:ext uri="{FF2B5EF4-FFF2-40B4-BE49-F238E27FC236}">
              <a16:creationId xmlns:a16="http://schemas.microsoft.com/office/drawing/2014/main" id="{05BFA4AA-3740-4279-B251-B32C9042F50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505" name="AutoShape 18">
          <a:extLst>
            <a:ext uri="{FF2B5EF4-FFF2-40B4-BE49-F238E27FC236}">
              <a16:creationId xmlns:a16="http://schemas.microsoft.com/office/drawing/2014/main" id="{D061E149-3AB1-4628-80DE-E5024997E59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21032"/>
    <xdr:sp macro="" textlink="">
      <xdr:nvSpPr>
        <xdr:cNvPr id="2506" name="AutoShape 19">
          <a:extLst>
            <a:ext uri="{FF2B5EF4-FFF2-40B4-BE49-F238E27FC236}">
              <a16:creationId xmlns:a16="http://schemas.microsoft.com/office/drawing/2014/main" id="{3E6DDA80-3767-45F5-98BB-783ABD5B6D5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136" cy="619868"/>
    <xdr:sp macro="" textlink="">
      <xdr:nvSpPr>
        <xdr:cNvPr id="2507" name="AutoShape 21">
          <a:extLst>
            <a:ext uri="{FF2B5EF4-FFF2-40B4-BE49-F238E27FC236}">
              <a16:creationId xmlns:a16="http://schemas.microsoft.com/office/drawing/2014/main" id="{013A6879-4E66-4C55-AA46-D0A486E511E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C2F4491E-165C-4521-ACCF-A4D7D8097E3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18220"/>
    <xdr:sp macro="" textlink="">
      <xdr:nvSpPr>
        <xdr:cNvPr id="2509" name="AutoShape 2">
          <a:extLst>
            <a:ext uri="{FF2B5EF4-FFF2-40B4-BE49-F238E27FC236}">
              <a16:creationId xmlns:a16="http://schemas.microsoft.com/office/drawing/2014/main" id="{B5AD019B-F8FB-49B4-8ABA-E654F3D4C41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10" name="AutoShape 5">
          <a:extLst>
            <a:ext uri="{FF2B5EF4-FFF2-40B4-BE49-F238E27FC236}">
              <a16:creationId xmlns:a16="http://schemas.microsoft.com/office/drawing/2014/main" id="{D7280538-614D-4637-B2A0-2B51B59174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953"/>
    <xdr:sp macro="" textlink="">
      <xdr:nvSpPr>
        <xdr:cNvPr id="2511" name="AutoShape 6">
          <a:extLst>
            <a:ext uri="{FF2B5EF4-FFF2-40B4-BE49-F238E27FC236}">
              <a16:creationId xmlns:a16="http://schemas.microsoft.com/office/drawing/2014/main" id="{73DA891E-96D1-4D56-9EAD-0D5D1E5EF07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3067"/>
    <xdr:sp macro="" textlink="">
      <xdr:nvSpPr>
        <xdr:cNvPr id="2512" name="AutoShape 7">
          <a:extLst>
            <a:ext uri="{FF2B5EF4-FFF2-40B4-BE49-F238E27FC236}">
              <a16:creationId xmlns:a16="http://schemas.microsoft.com/office/drawing/2014/main" id="{AD7AC6BA-AA02-4DBB-A05A-D3581A2A6C6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3068"/>
    <xdr:sp macro="" textlink="">
      <xdr:nvSpPr>
        <xdr:cNvPr id="2513" name="AutoShape 8">
          <a:extLst>
            <a:ext uri="{FF2B5EF4-FFF2-40B4-BE49-F238E27FC236}">
              <a16:creationId xmlns:a16="http://schemas.microsoft.com/office/drawing/2014/main" id="{5C1ACE4A-A8E4-4F4B-9B37-83C7B7D2B55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3068"/>
    <xdr:sp macro="" textlink="">
      <xdr:nvSpPr>
        <xdr:cNvPr id="2514" name="AutoShape 9">
          <a:extLst>
            <a:ext uri="{FF2B5EF4-FFF2-40B4-BE49-F238E27FC236}">
              <a16:creationId xmlns:a16="http://schemas.microsoft.com/office/drawing/2014/main" id="{59D34020-3535-4595-AC6C-6A021E55EE9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1"/>
    <xdr:sp macro="" textlink="">
      <xdr:nvSpPr>
        <xdr:cNvPr id="2515" name="AutoShape 10">
          <a:extLst>
            <a:ext uri="{FF2B5EF4-FFF2-40B4-BE49-F238E27FC236}">
              <a16:creationId xmlns:a16="http://schemas.microsoft.com/office/drawing/2014/main" id="{BA6A3DEA-320C-46F5-8A94-5C12009D961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18996"/>
    <xdr:sp macro="" textlink="">
      <xdr:nvSpPr>
        <xdr:cNvPr id="2516" name="AutoShape 11">
          <a:extLst>
            <a:ext uri="{FF2B5EF4-FFF2-40B4-BE49-F238E27FC236}">
              <a16:creationId xmlns:a16="http://schemas.microsoft.com/office/drawing/2014/main" id="{332490F0-3857-4340-ABC7-34FDD4DD148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1"/>
    <xdr:sp macro="" textlink="">
      <xdr:nvSpPr>
        <xdr:cNvPr id="2517" name="AutoShape 12">
          <a:extLst>
            <a:ext uri="{FF2B5EF4-FFF2-40B4-BE49-F238E27FC236}">
              <a16:creationId xmlns:a16="http://schemas.microsoft.com/office/drawing/2014/main" id="{3D4B8AE1-E709-46CC-A6B1-DE4DB929CA9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3068"/>
    <xdr:sp macro="" textlink="">
      <xdr:nvSpPr>
        <xdr:cNvPr id="2518" name="AutoShape 14">
          <a:extLst>
            <a:ext uri="{FF2B5EF4-FFF2-40B4-BE49-F238E27FC236}">
              <a16:creationId xmlns:a16="http://schemas.microsoft.com/office/drawing/2014/main" id="{1947AE0A-A8D7-4BEB-8DBD-6F9CC588673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18996"/>
    <xdr:sp macro="" textlink="">
      <xdr:nvSpPr>
        <xdr:cNvPr id="2519" name="AutoShape 15">
          <a:extLst>
            <a:ext uri="{FF2B5EF4-FFF2-40B4-BE49-F238E27FC236}">
              <a16:creationId xmlns:a16="http://schemas.microsoft.com/office/drawing/2014/main" id="{6C434389-D008-47A0-8DD5-85B4BF7769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20" name="AutoShape 16">
          <a:extLst>
            <a:ext uri="{FF2B5EF4-FFF2-40B4-BE49-F238E27FC236}">
              <a16:creationId xmlns:a16="http://schemas.microsoft.com/office/drawing/2014/main" id="{E05020A2-7151-4868-9D1B-A1980DAB661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21" name="AutoShape 17">
          <a:extLst>
            <a:ext uri="{FF2B5EF4-FFF2-40B4-BE49-F238E27FC236}">
              <a16:creationId xmlns:a16="http://schemas.microsoft.com/office/drawing/2014/main" id="{0884C736-6F7D-48B4-B058-62FAF334A27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22" name="AutoShape 18">
          <a:extLst>
            <a:ext uri="{FF2B5EF4-FFF2-40B4-BE49-F238E27FC236}">
              <a16:creationId xmlns:a16="http://schemas.microsoft.com/office/drawing/2014/main" id="{E1732F07-EFA5-47B0-9837-3C1931FE1F6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21032"/>
    <xdr:sp macro="" textlink="">
      <xdr:nvSpPr>
        <xdr:cNvPr id="2523" name="AutoShape 19">
          <a:extLst>
            <a:ext uri="{FF2B5EF4-FFF2-40B4-BE49-F238E27FC236}">
              <a16:creationId xmlns:a16="http://schemas.microsoft.com/office/drawing/2014/main" id="{C290189A-FB3F-4F3B-BDE9-56021ABF3EF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136" cy="619868"/>
    <xdr:sp macro="" textlink="">
      <xdr:nvSpPr>
        <xdr:cNvPr id="2524" name="AutoShape 21">
          <a:extLst>
            <a:ext uri="{FF2B5EF4-FFF2-40B4-BE49-F238E27FC236}">
              <a16:creationId xmlns:a16="http://schemas.microsoft.com/office/drawing/2014/main" id="{B113B3D0-6E85-4467-8E57-2E681D0AB1B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3175</xdr:colOff>
      <xdr:row>27</xdr:row>
      <xdr:rowOff>65490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2826158C-911D-2147-2A30-DCFDEC010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304800</xdr:rowOff>
    </xdr:from>
    <xdr:to>
      <xdr:col>2</xdr:col>
      <xdr:colOff>3175</xdr:colOff>
      <xdr:row>30</xdr:row>
      <xdr:rowOff>72278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CB9616F8-E1E1-8161-D8BF-83999BD0E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3175</xdr:colOff>
      <xdr:row>15</xdr:row>
      <xdr:rowOff>73333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38B9444B-A3CE-ACCE-F7EF-0363D52D3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9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165100</xdr:rowOff>
    </xdr:from>
    <xdr:to>
      <xdr:col>2</xdr:col>
      <xdr:colOff>3175</xdr:colOff>
      <xdr:row>16</xdr:row>
      <xdr:rowOff>63811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8DFFA4F9-EABA-D3F3-275C-0D5A8E39D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37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3175</xdr:colOff>
      <xdr:row>30</xdr:row>
      <xdr:rowOff>70160</xdr:rowOff>
    </xdr:to>
    <xdr:sp macro="" textlink="">
      <xdr:nvSpPr>
        <xdr:cNvPr id="4104" name="AutoShape 8">
          <a:extLst>
            <a:ext uri="{FF2B5EF4-FFF2-40B4-BE49-F238E27FC236}">
              <a16:creationId xmlns:a16="http://schemas.microsoft.com/office/drawing/2014/main" id="{542D5666-1839-9F73-E68A-A9B8F55A5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8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3175</xdr:colOff>
      <xdr:row>31</xdr:row>
      <xdr:rowOff>65397</xdr:rowOff>
    </xdr:to>
    <xdr:sp macro="" textlink="">
      <xdr:nvSpPr>
        <xdr:cNvPr id="4105" name="AutoShape 9">
          <a:extLst>
            <a:ext uri="{FF2B5EF4-FFF2-40B4-BE49-F238E27FC236}">
              <a16:creationId xmlns:a16="http://schemas.microsoft.com/office/drawing/2014/main" id="{7FF1F196-E053-6025-C453-AF968AA5B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70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5820</xdr:colOff>
      <xdr:row>15</xdr:row>
      <xdr:rowOff>64432</xdr:rowOff>
    </xdr:to>
    <xdr:sp macro="" textlink="">
      <xdr:nvSpPr>
        <xdr:cNvPr id="4109" name="AutoShape 13">
          <a:extLst>
            <a:ext uri="{FF2B5EF4-FFF2-40B4-BE49-F238E27FC236}">
              <a16:creationId xmlns:a16="http://schemas.microsoft.com/office/drawing/2014/main" id="{0D4A3423-E69D-2685-0F44-070265063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77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5820</xdr:colOff>
      <xdr:row>15</xdr:row>
      <xdr:rowOff>54871</xdr:rowOff>
    </xdr:to>
    <xdr:sp macro="" textlink="">
      <xdr:nvSpPr>
        <xdr:cNvPr id="4110" name="AutoShape 14">
          <a:extLst>
            <a:ext uri="{FF2B5EF4-FFF2-40B4-BE49-F238E27FC236}">
              <a16:creationId xmlns:a16="http://schemas.microsoft.com/office/drawing/2014/main" id="{A3CEC0CF-AA9C-4C25-F3BF-33BE87A19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5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5820</xdr:colOff>
      <xdr:row>6</xdr:row>
      <xdr:rowOff>60106</xdr:rowOff>
    </xdr:to>
    <xdr:sp macro="" textlink="">
      <xdr:nvSpPr>
        <xdr:cNvPr id="4111" name="AutoShape 15">
          <a:extLst>
            <a:ext uri="{FF2B5EF4-FFF2-40B4-BE49-F238E27FC236}">
              <a16:creationId xmlns:a16="http://schemas.microsoft.com/office/drawing/2014/main" id="{BB92F076-8EBB-53FB-4841-D5FDFD64D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23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101600</xdr:rowOff>
    </xdr:from>
    <xdr:to>
      <xdr:col>2</xdr:col>
      <xdr:colOff>5820</xdr:colOff>
      <xdr:row>30</xdr:row>
      <xdr:rowOff>155411</xdr:rowOff>
    </xdr:to>
    <xdr:sp macro="" textlink="">
      <xdr:nvSpPr>
        <xdr:cNvPr id="4112" name="AutoShape 16">
          <a:extLst>
            <a:ext uri="{FF2B5EF4-FFF2-40B4-BE49-F238E27FC236}">
              <a16:creationId xmlns:a16="http://schemas.microsoft.com/office/drawing/2014/main" id="{261A971E-8D0E-4240-7A8F-257FD308D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9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88900</xdr:rowOff>
    </xdr:from>
    <xdr:to>
      <xdr:col>2</xdr:col>
      <xdr:colOff>3175</xdr:colOff>
      <xdr:row>43</xdr:row>
      <xdr:rowOff>169697</xdr:rowOff>
    </xdr:to>
    <xdr:sp macro="" textlink="">
      <xdr:nvSpPr>
        <xdr:cNvPr id="4114" name="AutoShape 18">
          <a:extLst>
            <a:ext uri="{FF2B5EF4-FFF2-40B4-BE49-F238E27FC236}">
              <a16:creationId xmlns:a16="http://schemas.microsoft.com/office/drawing/2014/main" id="{57E5F393-B0C9-B3EF-D2A6-02DA6699C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5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139700</xdr:rowOff>
    </xdr:from>
    <xdr:to>
      <xdr:col>2</xdr:col>
      <xdr:colOff>3175</xdr:colOff>
      <xdr:row>48</xdr:row>
      <xdr:rowOff>39998</xdr:rowOff>
    </xdr:to>
    <xdr:sp macro="" textlink="">
      <xdr:nvSpPr>
        <xdr:cNvPr id="4115" name="AutoShape 19">
          <a:extLst>
            <a:ext uri="{FF2B5EF4-FFF2-40B4-BE49-F238E27FC236}">
              <a16:creationId xmlns:a16="http://schemas.microsoft.com/office/drawing/2014/main" id="{9DF5818B-B1E0-98DA-CDD1-F7D5AC78E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44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76200</xdr:rowOff>
    </xdr:from>
    <xdr:to>
      <xdr:col>2</xdr:col>
      <xdr:colOff>3175</xdr:colOff>
      <xdr:row>51</xdr:row>
      <xdr:rowOff>156998</xdr:rowOff>
    </xdr:to>
    <xdr:sp macro="" textlink="">
      <xdr:nvSpPr>
        <xdr:cNvPr id="4116" name="AutoShape 20">
          <a:extLst>
            <a:ext uri="{FF2B5EF4-FFF2-40B4-BE49-F238E27FC236}">
              <a16:creationId xmlns:a16="http://schemas.microsoft.com/office/drawing/2014/main" id="{205015AF-93AC-9C2E-166F-2548086B8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81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12700</xdr:rowOff>
    </xdr:from>
    <xdr:to>
      <xdr:col>2</xdr:col>
      <xdr:colOff>3175</xdr:colOff>
      <xdr:row>55</xdr:row>
      <xdr:rowOff>93498</xdr:rowOff>
    </xdr:to>
    <xdr:sp macro="" textlink="">
      <xdr:nvSpPr>
        <xdr:cNvPr id="4117" name="AutoShape 21">
          <a:extLst>
            <a:ext uri="{FF2B5EF4-FFF2-40B4-BE49-F238E27FC236}">
              <a16:creationId xmlns:a16="http://schemas.microsoft.com/office/drawing/2014/main" id="{33AD6B4D-F90F-94CB-3394-61809028D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90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133350</xdr:rowOff>
    </xdr:from>
    <xdr:to>
      <xdr:col>2</xdr:col>
      <xdr:colOff>3175</xdr:colOff>
      <xdr:row>59</xdr:row>
      <xdr:rowOff>33649</xdr:rowOff>
    </xdr:to>
    <xdr:sp macro="" textlink="">
      <xdr:nvSpPr>
        <xdr:cNvPr id="4118" name="AutoShape 22">
          <a:extLst>
            <a:ext uri="{FF2B5EF4-FFF2-40B4-BE49-F238E27FC236}">
              <a16:creationId xmlns:a16="http://schemas.microsoft.com/office/drawing/2014/main" id="{15094480-36BB-A632-DEB8-05A14AD8A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63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3175</xdr:colOff>
      <xdr:row>63</xdr:row>
      <xdr:rowOff>80799</xdr:rowOff>
    </xdr:to>
    <xdr:sp macro="" textlink="">
      <xdr:nvSpPr>
        <xdr:cNvPr id="4119" name="AutoShape 23">
          <a:extLst>
            <a:ext uri="{FF2B5EF4-FFF2-40B4-BE49-F238E27FC236}">
              <a16:creationId xmlns:a16="http://schemas.microsoft.com/office/drawing/2014/main" id="{A0711B15-8821-AD33-6BF8-38648620C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51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120650</xdr:rowOff>
    </xdr:from>
    <xdr:to>
      <xdr:col>2</xdr:col>
      <xdr:colOff>3175</xdr:colOff>
      <xdr:row>67</xdr:row>
      <xdr:rowOff>20946</xdr:rowOff>
    </xdr:to>
    <xdr:sp macro="" textlink="">
      <xdr:nvSpPr>
        <xdr:cNvPr id="4120" name="AutoShape 24">
          <a:extLst>
            <a:ext uri="{FF2B5EF4-FFF2-40B4-BE49-F238E27FC236}">
              <a16:creationId xmlns:a16="http://schemas.microsoft.com/office/drawing/2014/main" id="{DF9E36AE-CDF5-FE07-BDCC-39AC56343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24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4</xdr:row>
      <xdr:rowOff>107950</xdr:rowOff>
    </xdr:from>
    <xdr:ext cx="622300" cy="622300"/>
    <xdr:sp macro="" textlink="">
      <xdr:nvSpPr>
        <xdr:cNvPr id="2" name="AutoShape 13">
          <a:extLst>
            <a:ext uri="{FF2B5EF4-FFF2-40B4-BE49-F238E27FC236}">
              <a16:creationId xmlns:a16="http://schemas.microsoft.com/office/drawing/2014/main" id="{F9DD46D5-E1D4-4D03-B865-542C6E84E3DF}"/>
            </a:ext>
          </a:extLst>
        </xdr:cNvPr>
        <xdr:cNvSpPr>
          <a:spLocks noChangeAspect="1" noChangeArrowheads="1"/>
        </xdr:cNvSpPr>
      </xdr:nvSpPr>
      <xdr:spPr bwMode="auto">
        <a:xfrm>
          <a:off x="0" y="8877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44450</xdr:rowOff>
    </xdr:from>
    <xdr:ext cx="622300" cy="622300"/>
    <xdr:sp macro="" textlink="">
      <xdr:nvSpPr>
        <xdr:cNvPr id="3" name="AutoShape 14">
          <a:extLst>
            <a:ext uri="{FF2B5EF4-FFF2-40B4-BE49-F238E27FC236}">
              <a16:creationId xmlns:a16="http://schemas.microsoft.com/office/drawing/2014/main" id="{7B7472E8-8CCE-4797-8D46-2B1ADAD8B64D}"/>
            </a:ext>
          </a:extLst>
        </xdr:cNvPr>
        <xdr:cNvSpPr>
          <a:spLocks noChangeAspect="1" noChangeArrowheads="1"/>
        </xdr:cNvSpPr>
      </xdr:nvSpPr>
      <xdr:spPr bwMode="auto">
        <a:xfrm>
          <a:off x="0" y="955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24</xdr:row>
      <xdr:rowOff>101600</xdr:rowOff>
    </xdr:from>
    <xdr:to>
      <xdr:col>2</xdr:col>
      <xdr:colOff>3175</xdr:colOff>
      <xdr:row>27</xdr:row>
      <xdr:rowOff>167090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609CE468-B5AE-4713-8607-8D7C3850C847}"/>
            </a:ext>
          </a:extLst>
        </xdr:cNvPr>
        <xdr:cNvSpPr>
          <a:spLocks noChangeAspect="1" noChangeArrowheads="1"/>
        </xdr:cNvSpPr>
      </xdr:nvSpPr>
      <xdr:spPr bwMode="auto">
        <a:xfrm>
          <a:off x="355600" y="2952750"/>
          <a:ext cx="625475" cy="61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177800</xdr:rowOff>
    </xdr:from>
    <xdr:to>
      <xdr:col>2</xdr:col>
      <xdr:colOff>3175</xdr:colOff>
      <xdr:row>33</xdr:row>
      <xdr:rowOff>60633</xdr:rowOff>
    </xdr:to>
    <xdr:sp macro="" textlink="">
      <xdr:nvSpPr>
        <xdr:cNvPr id="27" name="AutoShape 5">
          <a:extLst>
            <a:ext uri="{FF2B5EF4-FFF2-40B4-BE49-F238E27FC236}">
              <a16:creationId xmlns:a16="http://schemas.microsoft.com/office/drawing/2014/main" id="{A5C38DAA-5B95-4824-9B5E-A6B0D842F43D}"/>
            </a:ext>
          </a:extLst>
        </xdr:cNvPr>
        <xdr:cNvSpPr>
          <a:spLocks noChangeAspect="1" noChangeArrowheads="1"/>
        </xdr:cNvSpPr>
      </xdr:nvSpPr>
      <xdr:spPr bwMode="auto">
        <a:xfrm>
          <a:off x="355600" y="4451350"/>
          <a:ext cx="625475" cy="619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165100</xdr:rowOff>
    </xdr:from>
    <xdr:to>
      <xdr:col>2</xdr:col>
      <xdr:colOff>3175</xdr:colOff>
      <xdr:row>25</xdr:row>
      <xdr:rowOff>63811</xdr:rowOff>
    </xdr:to>
    <xdr:sp macro="" textlink="">
      <xdr:nvSpPr>
        <xdr:cNvPr id="28" name="AutoShape 6">
          <a:extLst>
            <a:ext uri="{FF2B5EF4-FFF2-40B4-BE49-F238E27FC236}">
              <a16:creationId xmlns:a16="http://schemas.microsoft.com/office/drawing/2014/main" id="{B2052F4C-4CCF-48E8-A312-3784D1E27006}"/>
            </a:ext>
          </a:extLst>
        </xdr:cNvPr>
        <xdr:cNvSpPr>
          <a:spLocks noChangeAspect="1" noChangeArrowheads="1"/>
        </xdr:cNvSpPr>
      </xdr:nvSpPr>
      <xdr:spPr bwMode="auto">
        <a:xfrm>
          <a:off x="355600" y="4972050"/>
          <a:ext cx="625475" cy="622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139700</xdr:rowOff>
    </xdr:from>
    <xdr:to>
      <xdr:col>2</xdr:col>
      <xdr:colOff>3175</xdr:colOff>
      <xdr:row>38</xdr:row>
      <xdr:rowOff>32060</xdr:rowOff>
    </xdr:to>
    <xdr:sp macro="" textlink="">
      <xdr:nvSpPr>
        <xdr:cNvPr id="29" name="AutoShape 8">
          <a:extLst>
            <a:ext uri="{FF2B5EF4-FFF2-40B4-BE49-F238E27FC236}">
              <a16:creationId xmlns:a16="http://schemas.microsoft.com/office/drawing/2014/main" id="{B4A2A8AA-95AF-46A7-9B84-9DB6B33364CE}"/>
            </a:ext>
          </a:extLst>
        </xdr:cNvPr>
        <xdr:cNvSpPr>
          <a:spLocks noChangeAspect="1" noChangeArrowheads="1"/>
        </xdr:cNvSpPr>
      </xdr:nvSpPr>
      <xdr:spPr bwMode="auto">
        <a:xfrm>
          <a:off x="355600" y="5835650"/>
          <a:ext cx="625475" cy="622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107950</xdr:rowOff>
    </xdr:from>
    <xdr:to>
      <xdr:col>2</xdr:col>
      <xdr:colOff>5820</xdr:colOff>
      <xdr:row>30</xdr:row>
      <xdr:rowOff>166032</xdr:rowOff>
    </xdr:to>
    <xdr:sp macro="" textlink="">
      <xdr:nvSpPr>
        <xdr:cNvPr id="31" name="AutoShape 13">
          <a:extLst>
            <a:ext uri="{FF2B5EF4-FFF2-40B4-BE49-F238E27FC236}">
              <a16:creationId xmlns:a16="http://schemas.microsoft.com/office/drawing/2014/main" id="{EA49D009-36AE-4169-911D-58D1F59BF6A0}"/>
            </a:ext>
          </a:extLst>
        </xdr:cNvPr>
        <xdr:cNvSpPr>
          <a:spLocks noChangeAspect="1" noChangeArrowheads="1"/>
        </xdr:cNvSpPr>
      </xdr:nvSpPr>
      <xdr:spPr bwMode="auto">
        <a:xfrm>
          <a:off x="355600" y="4025900"/>
          <a:ext cx="628120" cy="610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44450</xdr:rowOff>
    </xdr:from>
    <xdr:to>
      <xdr:col>2</xdr:col>
      <xdr:colOff>5820</xdr:colOff>
      <xdr:row>34</xdr:row>
      <xdr:rowOff>92971</xdr:rowOff>
    </xdr:to>
    <xdr:sp macro="" textlink="">
      <xdr:nvSpPr>
        <xdr:cNvPr id="32" name="AutoShape 14">
          <a:extLst>
            <a:ext uri="{FF2B5EF4-FFF2-40B4-BE49-F238E27FC236}">
              <a16:creationId xmlns:a16="http://schemas.microsoft.com/office/drawing/2014/main" id="{20A95387-786A-42D8-AF7F-26AF8D998635}"/>
            </a:ext>
          </a:extLst>
        </xdr:cNvPr>
        <xdr:cNvSpPr>
          <a:spLocks noChangeAspect="1" noChangeArrowheads="1"/>
        </xdr:cNvSpPr>
      </xdr:nvSpPr>
      <xdr:spPr bwMode="auto">
        <a:xfrm>
          <a:off x="355600" y="4673600"/>
          <a:ext cx="628120" cy="600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88900</xdr:rowOff>
    </xdr:from>
    <xdr:to>
      <xdr:col>2</xdr:col>
      <xdr:colOff>3175</xdr:colOff>
      <xdr:row>57</xdr:row>
      <xdr:rowOff>169697</xdr:rowOff>
    </xdr:to>
    <xdr:sp macro="" textlink="">
      <xdr:nvSpPr>
        <xdr:cNvPr id="35" name="AutoShape 18">
          <a:extLst>
            <a:ext uri="{FF2B5EF4-FFF2-40B4-BE49-F238E27FC236}">
              <a16:creationId xmlns:a16="http://schemas.microsoft.com/office/drawing/2014/main" id="{FF8D0FAF-EBAC-4EEA-8198-94FBF7B90B2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185650"/>
          <a:ext cx="625475" cy="614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139700</xdr:rowOff>
    </xdr:from>
    <xdr:to>
      <xdr:col>2</xdr:col>
      <xdr:colOff>3175</xdr:colOff>
      <xdr:row>62</xdr:row>
      <xdr:rowOff>39998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B2C7E4B6-8577-455C-962B-429407AB087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947650"/>
          <a:ext cx="625475" cy="611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76200</xdr:rowOff>
    </xdr:from>
    <xdr:to>
      <xdr:col>2</xdr:col>
      <xdr:colOff>3175</xdr:colOff>
      <xdr:row>65</xdr:row>
      <xdr:rowOff>156998</xdr:rowOff>
    </xdr:to>
    <xdr:sp macro="" textlink="">
      <xdr:nvSpPr>
        <xdr:cNvPr id="37" name="AutoShape 20">
          <a:extLst>
            <a:ext uri="{FF2B5EF4-FFF2-40B4-BE49-F238E27FC236}">
              <a16:creationId xmlns:a16="http://schemas.microsoft.com/office/drawing/2014/main" id="{0448032A-5B00-41CE-8D74-19899258A9B1}"/>
            </a:ext>
          </a:extLst>
        </xdr:cNvPr>
        <xdr:cNvSpPr>
          <a:spLocks noChangeAspect="1" noChangeArrowheads="1"/>
        </xdr:cNvSpPr>
      </xdr:nvSpPr>
      <xdr:spPr bwMode="auto">
        <a:xfrm>
          <a:off x="355600" y="13595350"/>
          <a:ext cx="625475" cy="61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12700</xdr:rowOff>
    </xdr:from>
    <xdr:to>
      <xdr:col>2</xdr:col>
      <xdr:colOff>3175</xdr:colOff>
      <xdr:row>69</xdr:row>
      <xdr:rowOff>93498</xdr:rowOff>
    </xdr:to>
    <xdr:sp macro="" textlink="">
      <xdr:nvSpPr>
        <xdr:cNvPr id="38" name="AutoShape 21">
          <a:extLst>
            <a:ext uri="{FF2B5EF4-FFF2-40B4-BE49-F238E27FC236}">
              <a16:creationId xmlns:a16="http://schemas.microsoft.com/office/drawing/2014/main" id="{1B1F9216-4FD9-45A9-AA50-B2B4C6A845CC}"/>
            </a:ext>
          </a:extLst>
        </xdr:cNvPr>
        <xdr:cNvSpPr>
          <a:spLocks noChangeAspect="1" noChangeArrowheads="1"/>
        </xdr:cNvSpPr>
      </xdr:nvSpPr>
      <xdr:spPr bwMode="auto">
        <a:xfrm>
          <a:off x="355600" y="14243050"/>
          <a:ext cx="625475" cy="61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133350</xdr:rowOff>
    </xdr:from>
    <xdr:to>
      <xdr:col>2</xdr:col>
      <xdr:colOff>3175</xdr:colOff>
      <xdr:row>73</xdr:row>
      <xdr:rowOff>33649</xdr:rowOff>
    </xdr:to>
    <xdr:sp macro="" textlink="">
      <xdr:nvSpPr>
        <xdr:cNvPr id="39" name="AutoShape 22">
          <a:extLst>
            <a:ext uri="{FF2B5EF4-FFF2-40B4-BE49-F238E27FC236}">
              <a16:creationId xmlns:a16="http://schemas.microsoft.com/office/drawing/2014/main" id="{59A740D3-600F-4435-97D5-67063C6EC03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4897100"/>
          <a:ext cx="625475" cy="61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3175</xdr:colOff>
      <xdr:row>77</xdr:row>
      <xdr:rowOff>80799</xdr:rowOff>
    </xdr:to>
    <xdr:sp macro="" textlink="">
      <xdr:nvSpPr>
        <xdr:cNvPr id="40" name="AutoShape 23">
          <a:extLst>
            <a:ext uri="{FF2B5EF4-FFF2-40B4-BE49-F238E27FC236}">
              <a16:creationId xmlns:a16="http://schemas.microsoft.com/office/drawing/2014/main" id="{FFD62DF9-B6F6-46F4-9BA3-E6BDEED1402E}"/>
            </a:ext>
          </a:extLst>
        </xdr:cNvPr>
        <xdr:cNvSpPr>
          <a:spLocks noChangeAspect="1" noChangeArrowheads="1"/>
        </xdr:cNvSpPr>
      </xdr:nvSpPr>
      <xdr:spPr bwMode="auto">
        <a:xfrm>
          <a:off x="355600" y="15652750"/>
          <a:ext cx="625475" cy="614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120650</xdr:rowOff>
    </xdr:from>
    <xdr:to>
      <xdr:col>2</xdr:col>
      <xdr:colOff>3175</xdr:colOff>
      <xdr:row>81</xdr:row>
      <xdr:rowOff>20946</xdr:rowOff>
    </xdr:to>
    <xdr:sp macro="" textlink="">
      <xdr:nvSpPr>
        <xdr:cNvPr id="41" name="AutoShape 24">
          <a:extLst>
            <a:ext uri="{FF2B5EF4-FFF2-40B4-BE49-F238E27FC236}">
              <a16:creationId xmlns:a16="http://schemas.microsoft.com/office/drawing/2014/main" id="{1AFEC189-1AD2-41F3-9907-21BE7E0A1F89}"/>
            </a:ext>
          </a:extLst>
        </xdr:cNvPr>
        <xdr:cNvSpPr>
          <a:spLocks noChangeAspect="1" noChangeArrowheads="1"/>
        </xdr:cNvSpPr>
      </xdr:nvSpPr>
      <xdr:spPr bwMode="auto">
        <a:xfrm>
          <a:off x="355600" y="16306800"/>
          <a:ext cx="625475" cy="611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51</xdr:row>
      <xdr:rowOff>107950</xdr:rowOff>
    </xdr:from>
    <xdr:ext cx="622300" cy="622300"/>
    <xdr:sp macro="" textlink="">
      <xdr:nvSpPr>
        <xdr:cNvPr id="42" name="AutoShape 13">
          <a:extLst>
            <a:ext uri="{FF2B5EF4-FFF2-40B4-BE49-F238E27FC236}">
              <a16:creationId xmlns:a16="http://schemas.microsoft.com/office/drawing/2014/main" id="{4C8989D0-0C2E-424B-9D90-92B8FE4892D7}"/>
            </a:ext>
          </a:extLst>
        </xdr:cNvPr>
        <xdr:cNvSpPr>
          <a:spLocks noChangeAspect="1" noChangeArrowheads="1"/>
        </xdr:cNvSpPr>
      </xdr:nvSpPr>
      <xdr:spPr bwMode="auto">
        <a:xfrm>
          <a:off x="355600" y="11671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44450</xdr:rowOff>
    </xdr:from>
    <xdr:ext cx="622300" cy="622300"/>
    <xdr:sp macro="" textlink="">
      <xdr:nvSpPr>
        <xdr:cNvPr id="43" name="AutoShape 14">
          <a:extLst>
            <a:ext uri="{FF2B5EF4-FFF2-40B4-BE49-F238E27FC236}">
              <a16:creationId xmlns:a16="http://schemas.microsoft.com/office/drawing/2014/main" id="{03F38323-50A7-484F-B4D8-62F7355D34B2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319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2</xdr:col>
      <xdr:colOff>31750</xdr:colOff>
      <xdr:row>17</xdr:row>
      <xdr:rowOff>69850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1610D718-23EF-1F34-D8CE-17A5245D1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444500</xdr:rowOff>
    </xdr:from>
    <xdr:to>
      <xdr:col>2</xdr:col>
      <xdr:colOff>31750</xdr:colOff>
      <xdr:row>19</xdr:row>
      <xdr:rowOff>69850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0FC57AC7-6B5C-8497-B2A7-F774603C3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31750</xdr:colOff>
      <xdr:row>21</xdr:row>
      <xdr:rowOff>69850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04CC5BF9-63AE-B89D-812B-08CFDAA2D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31750</xdr:colOff>
      <xdr:row>23</xdr:row>
      <xdr:rowOff>69850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B0CB6B4D-6B7A-AC59-5DF8-A650FAC8C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31750</xdr:colOff>
      <xdr:row>25</xdr:row>
      <xdr:rowOff>6350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5E94AF27-40D3-C9DC-0EF6-A19E6CAFC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31750</xdr:colOff>
      <xdr:row>26</xdr:row>
      <xdr:rowOff>82550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C992FEE5-873D-BEED-8B3C-1731E4311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31750</xdr:colOff>
      <xdr:row>28</xdr:row>
      <xdr:rowOff>69850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CB58C3C1-F797-2EFC-9029-F5DF1CB85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31750</xdr:colOff>
      <xdr:row>30</xdr:row>
      <xdr:rowOff>69850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1E761E11-A4B9-857F-76E6-EF02A6B03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31750</xdr:colOff>
      <xdr:row>32</xdr:row>
      <xdr:rowOff>69850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C8D5F803-3634-2DAE-805D-C2D955167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31750</xdr:colOff>
      <xdr:row>34</xdr:row>
      <xdr:rowOff>19050</xdr:rowOff>
    </xdr:to>
    <xdr:sp macro="" textlink="">
      <xdr:nvSpPr>
        <xdr:cNvPr id="3082" name="AutoShape 10">
          <a:extLst>
            <a:ext uri="{FF2B5EF4-FFF2-40B4-BE49-F238E27FC236}">
              <a16:creationId xmlns:a16="http://schemas.microsoft.com/office/drawing/2014/main" id="{072E0F15-3369-9646-15B3-3F50015BF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31750</xdr:colOff>
      <xdr:row>35</xdr:row>
      <xdr:rowOff>95250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4E5F1723-2ADF-04D0-B054-39052A236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31750</xdr:colOff>
      <xdr:row>37</xdr:row>
      <xdr:rowOff>69850</xdr:rowOff>
    </xdr:to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AC157F95-8631-1643-7874-66C4FE7E9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31750</xdr:colOff>
      <xdr:row>39</xdr:row>
      <xdr:rowOff>69850</xdr:rowOff>
    </xdr:to>
    <xdr:sp macro="" textlink="">
      <xdr:nvSpPr>
        <xdr:cNvPr id="3085" name="AutoShape 13">
          <a:extLst>
            <a:ext uri="{FF2B5EF4-FFF2-40B4-BE49-F238E27FC236}">
              <a16:creationId xmlns:a16="http://schemas.microsoft.com/office/drawing/2014/main" id="{D79292A6-60ED-87C0-4C4B-3A52426BA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31750</xdr:colOff>
      <xdr:row>41</xdr:row>
      <xdr:rowOff>69850</xdr:rowOff>
    </xdr:to>
    <xdr:sp macro="" textlink="">
      <xdr:nvSpPr>
        <xdr:cNvPr id="3086" name="AutoShape 14">
          <a:extLst>
            <a:ext uri="{FF2B5EF4-FFF2-40B4-BE49-F238E27FC236}">
              <a16:creationId xmlns:a16="http://schemas.microsoft.com/office/drawing/2014/main" id="{17AC3F27-BF12-77FF-271F-73A395F75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31750</xdr:colOff>
      <xdr:row>43</xdr:row>
      <xdr:rowOff>31750</xdr:rowOff>
    </xdr:to>
    <xdr:sp macro="" textlink="">
      <xdr:nvSpPr>
        <xdr:cNvPr id="3087" name="AutoShape 15">
          <a:extLst>
            <a:ext uri="{FF2B5EF4-FFF2-40B4-BE49-F238E27FC236}">
              <a16:creationId xmlns:a16="http://schemas.microsoft.com/office/drawing/2014/main" id="{668EF385-DA07-3D12-C862-3E6D6C24A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31750</xdr:colOff>
      <xdr:row>44</xdr:row>
      <xdr:rowOff>107950</xdr:rowOff>
    </xdr:to>
    <xdr:sp macro="" textlink="">
      <xdr:nvSpPr>
        <xdr:cNvPr id="3088" name="AutoShape 16">
          <a:extLst>
            <a:ext uri="{FF2B5EF4-FFF2-40B4-BE49-F238E27FC236}">
              <a16:creationId xmlns:a16="http://schemas.microsoft.com/office/drawing/2014/main" id="{940316D5-9DDC-C9D4-4C67-DBAAD2FAD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31750</xdr:colOff>
      <xdr:row>46</xdr:row>
      <xdr:rowOff>69850</xdr:rowOff>
    </xdr:to>
    <xdr:sp macro="" textlink="">
      <xdr:nvSpPr>
        <xdr:cNvPr id="3089" name="AutoShape 17">
          <a:extLst>
            <a:ext uri="{FF2B5EF4-FFF2-40B4-BE49-F238E27FC236}">
              <a16:creationId xmlns:a16="http://schemas.microsoft.com/office/drawing/2014/main" id="{A2102951-248E-03EE-7359-93B760C43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31750</xdr:colOff>
      <xdr:row>48</xdr:row>
      <xdr:rowOff>69850</xdr:rowOff>
    </xdr:to>
    <xdr:sp macro="" textlink="">
      <xdr:nvSpPr>
        <xdr:cNvPr id="3090" name="AutoShape 18">
          <a:extLst>
            <a:ext uri="{FF2B5EF4-FFF2-40B4-BE49-F238E27FC236}">
              <a16:creationId xmlns:a16="http://schemas.microsoft.com/office/drawing/2014/main" id="{E9BD06F8-3D98-4DDC-4809-F46EE6711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31750</xdr:colOff>
      <xdr:row>50</xdr:row>
      <xdr:rowOff>69850</xdr:rowOff>
    </xdr:to>
    <xdr:sp macro="" textlink="">
      <xdr:nvSpPr>
        <xdr:cNvPr id="3091" name="AutoShape 19">
          <a:extLst>
            <a:ext uri="{FF2B5EF4-FFF2-40B4-BE49-F238E27FC236}">
              <a16:creationId xmlns:a16="http://schemas.microsoft.com/office/drawing/2014/main" id="{3F9405EF-6519-4C40-BA97-E4CF04361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31750</xdr:colOff>
      <xdr:row>52</xdr:row>
      <xdr:rowOff>44450</xdr:rowOff>
    </xdr:to>
    <xdr:sp macro="" textlink="">
      <xdr:nvSpPr>
        <xdr:cNvPr id="3092" name="AutoShape 20">
          <a:extLst>
            <a:ext uri="{FF2B5EF4-FFF2-40B4-BE49-F238E27FC236}">
              <a16:creationId xmlns:a16="http://schemas.microsoft.com/office/drawing/2014/main" id="{B3F2BAE4-AA3C-CF26-7A9B-911F53CF3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31750</xdr:colOff>
      <xdr:row>53</xdr:row>
      <xdr:rowOff>120650</xdr:rowOff>
    </xdr:to>
    <xdr:sp macro="" textlink="">
      <xdr:nvSpPr>
        <xdr:cNvPr id="3093" name="AutoShape 21">
          <a:extLst>
            <a:ext uri="{FF2B5EF4-FFF2-40B4-BE49-F238E27FC236}">
              <a16:creationId xmlns:a16="http://schemas.microsoft.com/office/drawing/2014/main" id="{E516D619-A691-1E42-6875-9A6C082C5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31750</xdr:colOff>
      <xdr:row>55</xdr:row>
      <xdr:rowOff>69850</xdr:rowOff>
    </xdr:to>
    <xdr:sp macro="" textlink="">
      <xdr:nvSpPr>
        <xdr:cNvPr id="3094" name="AutoShape 22">
          <a:extLst>
            <a:ext uri="{FF2B5EF4-FFF2-40B4-BE49-F238E27FC236}">
              <a16:creationId xmlns:a16="http://schemas.microsoft.com/office/drawing/2014/main" id="{840B9172-19FC-A13C-0521-621D1E8A7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31750</xdr:colOff>
      <xdr:row>57</xdr:row>
      <xdr:rowOff>69850</xdr:rowOff>
    </xdr:to>
    <xdr:sp macro="" textlink="">
      <xdr:nvSpPr>
        <xdr:cNvPr id="3095" name="AutoShape 23">
          <a:extLst>
            <a:ext uri="{FF2B5EF4-FFF2-40B4-BE49-F238E27FC236}">
              <a16:creationId xmlns:a16="http://schemas.microsoft.com/office/drawing/2014/main" id="{EB822897-5060-6D85-A687-3361C9CA5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31750</xdr:colOff>
      <xdr:row>59</xdr:row>
      <xdr:rowOff>69850</xdr:rowOff>
    </xdr:to>
    <xdr:sp macro="" textlink="">
      <xdr:nvSpPr>
        <xdr:cNvPr id="3096" name="AutoShape 24">
          <a:extLst>
            <a:ext uri="{FF2B5EF4-FFF2-40B4-BE49-F238E27FC236}">
              <a16:creationId xmlns:a16="http://schemas.microsoft.com/office/drawing/2014/main" id="{D36AE5F3-A56F-C8FD-4723-93C97396F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31750</xdr:colOff>
      <xdr:row>62</xdr:row>
      <xdr:rowOff>133350</xdr:rowOff>
    </xdr:to>
    <xdr:sp macro="" textlink="">
      <xdr:nvSpPr>
        <xdr:cNvPr id="3098" name="AutoShape 26">
          <a:extLst>
            <a:ext uri="{FF2B5EF4-FFF2-40B4-BE49-F238E27FC236}">
              <a16:creationId xmlns:a16="http://schemas.microsoft.com/office/drawing/2014/main" id="{8A712CA6-4327-45A7-4923-250322A59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31750</xdr:colOff>
      <xdr:row>64</xdr:row>
      <xdr:rowOff>69850</xdr:rowOff>
    </xdr:to>
    <xdr:sp macro="" textlink="">
      <xdr:nvSpPr>
        <xdr:cNvPr id="3099" name="AutoShape 27">
          <a:extLst>
            <a:ext uri="{FF2B5EF4-FFF2-40B4-BE49-F238E27FC236}">
              <a16:creationId xmlns:a16="http://schemas.microsoft.com/office/drawing/2014/main" id="{BC9C5901-B4FF-6F04-E7CA-FF83733E4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31750</xdr:colOff>
      <xdr:row>68</xdr:row>
      <xdr:rowOff>63500</xdr:rowOff>
    </xdr:to>
    <xdr:sp macro="" textlink="">
      <xdr:nvSpPr>
        <xdr:cNvPr id="3101" name="AutoShape 29">
          <a:extLst>
            <a:ext uri="{FF2B5EF4-FFF2-40B4-BE49-F238E27FC236}">
              <a16:creationId xmlns:a16="http://schemas.microsoft.com/office/drawing/2014/main" id="{EFA85F30-F297-39BD-CD44-7775A7798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76200</xdr:rowOff>
    </xdr:from>
    <xdr:to>
      <xdr:col>2</xdr:col>
      <xdr:colOff>31750</xdr:colOff>
      <xdr:row>72</xdr:row>
      <xdr:rowOff>139700</xdr:rowOff>
    </xdr:to>
    <xdr:sp macro="" textlink="">
      <xdr:nvSpPr>
        <xdr:cNvPr id="3103" name="AutoShape 31">
          <a:extLst>
            <a:ext uri="{FF2B5EF4-FFF2-40B4-BE49-F238E27FC236}">
              <a16:creationId xmlns:a16="http://schemas.microsoft.com/office/drawing/2014/main" id="{BC378F12-7EF0-0E0F-D4EE-513884BF3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31750</xdr:colOff>
      <xdr:row>76</xdr:row>
      <xdr:rowOff>69850</xdr:rowOff>
    </xdr:to>
    <xdr:sp macro="" textlink="">
      <xdr:nvSpPr>
        <xdr:cNvPr id="3104" name="AutoShape 32">
          <a:extLst>
            <a:ext uri="{FF2B5EF4-FFF2-40B4-BE49-F238E27FC236}">
              <a16:creationId xmlns:a16="http://schemas.microsoft.com/office/drawing/2014/main" id="{139C1D35-93C7-3E31-031E-E5C84688B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44450</xdr:rowOff>
    </xdr:from>
    <xdr:to>
      <xdr:col>2</xdr:col>
      <xdr:colOff>31750</xdr:colOff>
      <xdr:row>81</xdr:row>
      <xdr:rowOff>114300</xdr:rowOff>
    </xdr:to>
    <xdr:sp macro="" textlink="">
      <xdr:nvSpPr>
        <xdr:cNvPr id="3105" name="AutoShape 33">
          <a:extLst>
            <a:ext uri="{FF2B5EF4-FFF2-40B4-BE49-F238E27FC236}">
              <a16:creationId xmlns:a16="http://schemas.microsoft.com/office/drawing/2014/main" id="{D3A33A8D-2971-4C00-06D7-C4A72D48C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120650</xdr:rowOff>
    </xdr:from>
    <xdr:to>
      <xdr:col>2</xdr:col>
      <xdr:colOff>31750</xdr:colOff>
      <xdr:row>87</xdr:row>
      <xdr:rowOff>6350</xdr:rowOff>
    </xdr:to>
    <xdr:sp macro="" textlink="">
      <xdr:nvSpPr>
        <xdr:cNvPr id="3106" name="AutoShape 34">
          <a:extLst>
            <a:ext uri="{FF2B5EF4-FFF2-40B4-BE49-F238E27FC236}">
              <a16:creationId xmlns:a16="http://schemas.microsoft.com/office/drawing/2014/main" id="{6A15C5A5-5806-3A49-7E34-F7A4E4A2B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12700</xdr:rowOff>
    </xdr:from>
    <xdr:to>
      <xdr:col>2</xdr:col>
      <xdr:colOff>31750</xdr:colOff>
      <xdr:row>92</xdr:row>
      <xdr:rowOff>82550</xdr:rowOff>
    </xdr:to>
    <xdr:sp macro="" textlink="">
      <xdr:nvSpPr>
        <xdr:cNvPr id="3107" name="AutoShape 35">
          <a:extLst>
            <a:ext uri="{FF2B5EF4-FFF2-40B4-BE49-F238E27FC236}">
              <a16:creationId xmlns:a16="http://schemas.microsoft.com/office/drawing/2014/main" id="{745F2DCD-FD67-BCA5-13F8-085FC363D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88900</xdr:rowOff>
    </xdr:from>
    <xdr:to>
      <xdr:col>2</xdr:col>
      <xdr:colOff>31750</xdr:colOff>
      <xdr:row>97</xdr:row>
      <xdr:rowOff>158750</xdr:rowOff>
    </xdr:to>
    <xdr:sp macro="" textlink="">
      <xdr:nvSpPr>
        <xdr:cNvPr id="3108" name="AutoShape 36">
          <a:extLst>
            <a:ext uri="{FF2B5EF4-FFF2-40B4-BE49-F238E27FC236}">
              <a16:creationId xmlns:a16="http://schemas.microsoft.com/office/drawing/2014/main" id="{60EE6D47-4D8F-5782-E061-2B052A9C6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165100</xdr:rowOff>
    </xdr:from>
    <xdr:to>
      <xdr:col>2</xdr:col>
      <xdr:colOff>31750</xdr:colOff>
      <xdr:row>103</xdr:row>
      <xdr:rowOff>50800</xdr:rowOff>
    </xdr:to>
    <xdr:sp macro="" textlink="">
      <xdr:nvSpPr>
        <xdr:cNvPr id="3109" name="AutoShape 37">
          <a:extLst>
            <a:ext uri="{FF2B5EF4-FFF2-40B4-BE49-F238E27FC236}">
              <a16:creationId xmlns:a16="http://schemas.microsoft.com/office/drawing/2014/main" id="{6943E7C8-CDA6-147D-ABB1-A770B495B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57150</xdr:rowOff>
    </xdr:from>
    <xdr:to>
      <xdr:col>2</xdr:col>
      <xdr:colOff>31750</xdr:colOff>
      <xdr:row>108</xdr:row>
      <xdr:rowOff>127000</xdr:rowOff>
    </xdr:to>
    <xdr:sp macro="" textlink="">
      <xdr:nvSpPr>
        <xdr:cNvPr id="3110" name="AutoShape 38">
          <a:extLst>
            <a:ext uri="{FF2B5EF4-FFF2-40B4-BE49-F238E27FC236}">
              <a16:creationId xmlns:a16="http://schemas.microsoft.com/office/drawing/2014/main" id="{AC9B7F7F-26EC-5013-97C5-581EAA5C2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133350</xdr:rowOff>
    </xdr:from>
    <xdr:to>
      <xdr:col>2</xdr:col>
      <xdr:colOff>31750</xdr:colOff>
      <xdr:row>114</xdr:row>
      <xdr:rowOff>19050</xdr:rowOff>
    </xdr:to>
    <xdr:sp macro="" textlink="">
      <xdr:nvSpPr>
        <xdr:cNvPr id="3111" name="AutoShape 39">
          <a:extLst>
            <a:ext uri="{FF2B5EF4-FFF2-40B4-BE49-F238E27FC236}">
              <a16:creationId xmlns:a16="http://schemas.microsoft.com/office/drawing/2014/main" id="{CB592E42-7A28-BC20-678F-50E439A32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25400</xdr:rowOff>
    </xdr:from>
    <xdr:to>
      <xdr:col>2</xdr:col>
      <xdr:colOff>31750</xdr:colOff>
      <xdr:row>119</xdr:row>
      <xdr:rowOff>95250</xdr:rowOff>
    </xdr:to>
    <xdr:sp macro="" textlink="">
      <xdr:nvSpPr>
        <xdr:cNvPr id="3112" name="AutoShape 40">
          <a:extLst>
            <a:ext uri="{FF2B5EF4-FFF2-40B4-BE49-F238E27FC236}">
              <a16:creationId xmlns:a16="http://schemas.microsoft.com/office/drawing/2014/main" id="{C1C33C13-783E-E141-37C3-1A0E3559D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101600</xdr:rowOff>
    </xdr:from>
    <xdr:to>
      <xdr:col>2</xdr:col>
      <xdr:colOff>31750</xdr:colOff>
      <xdr:row>124</xdr:row>
      <xdr:rowOff>171450</xdr:rowOff>
    </xdr:to>
    <xdr:sp macro="" textlink="">
      <xdr:nvSpPr>
        <xdr:cNvPr id="3113" name="AutoShape 41">
          <a:extLst>
            <a:ext uri="{FF2B5EF4-FFF2-40B4-BE49-F238E27FC236}">
              <a16:creationId xmlns:a16="http://schemas.microsoft.com/office/drawing/2014/main" id="{92E5DBD2-79AD-5396-9740-CFA4E3600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177800</xdr:rowOff>
    </xdr:from>
    <xdr:to>
      <xdr:col>2</xdr:col>
      <xdr:colOff>31750</xdr:colOff>
      <xdr:row>130</xdr:row>
      <xdr:rowOff>63500</xdr:rowOff>
    </xdr:to>
    <xdr:sp macro="" textlink="">
      <xdr:nvSpPr>
        <xdr:cNvPr id="3114" name="AutoShape 42">
          <a:extLst>
            <a:ext uri="{FF2B5EF4-FFF2-40B4-BE49-F238E27FC236}">
              <a16:creationId xmlns:a16="http://schemas.microsoft.com/office/drawing/2014/main" id="{13B2FB33-1F1F-CBBD-66CB-DD2F00B69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69850</xdr:rowOff>
    </xdr:from>
    <xdr:to>
      <xdr:col>2</xdr:col>
      <xdr:colOff>31750</xdr:colOff>
      <xdr:row>135</xdr:row>
      <xdr:rowOff>139700</xdr:rowOff>
    </xdr:to>
    <xdr:sp macro="" textlink="">
      <xdr:nvSpPr>
        <xdr:cNvPr id="3115" name="AutoShape 43">
          <a:extLst>
            <a:ext uri="{FF2B5EF4-FFF2-40B4-BE49-F238E27FC236}">
              <a16:creationId xmlns:a16="http://schemas.microsoft.com/office/drawing/2014/main" id="{8D3484D2-AAEF-E1FF-5729-A0D3E595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146050</xdr:rowOff>
    </xdr:from>
    <xdr:to>
      <xdr:col>2</xdr:col>
      <xdr:colOff>31750</xdr:colOff>
      <xdr:row>141</xdr:row>
      <xdr:rowOff>31750</xdr:rowOff>
    </xdr:to>
    <xdr:sp macro="" textlink="">
      <xdr:nvSpPr>
        <xdr:cNvPr id="3116" name="AutoShape 44">
          <a:extLst>
            <a:ext uri="{FF2B5EF4-FFF2-40B4-BE49-F238E27FC236}">
              <a16:creationId xmlns:a16="http://schemas.microsoft.com/office/drawing/2014/main" id="{501BD6F7-7D5C-5584-75C2-54AD108A3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38100</xdr:rowOff>
    </xdr:from>
    <xdr:to>
      <xdr:col>2</xdr:col>
      <xdr:colOff>31750</xdr:colOff>
      <xdr:row>146</xdr:row>
      <xdr:rowOff>107950</xdr:rowOff>
    </xdr:to>
    <xdr:sp macro="" textlink="">
      <xdr:nvSpPr>
        <xdr:cNvPr id="3117" name="AutoShape 45">
          <a:extLst>
            <a:ext uri="{FF2B5EF4-FFF2-40B4-BE49-F238E27FC236}">
              <a16:creationId xmlns:a16="http://schemas.microsoft.com/office/drawing/2014/main" id="{E6ABC91E-1FBE-BC75-3F7B-F01207A7B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114300</xdr:rowOff>
    </xdr:from>
    <xdr:to>
      <xdr:col>2</xdr:col>
      <xdr:colOff>31750</xdr:colOff>
      <xdr:row>152</xdr:row>
      <xdr:rowOff>0</xdr:rowOff>
    </xdr:to>
    <xdr:sp macro="" textlink="">
      <xdr:nvSpPr>
        <xdr:cNvPr id="3118" name="AutoShape 46">
          <a:extLst>
            <a:ext uri="{FF2B5EF4-FFF2-40B4-BE49-F238E27FC236}">
              <a16:creationId xmlns:a16="http://schemas.microsoft.com/office/drawing/2014/main" id="{A984139F-830F-29A2-1B8D-4BFAE1A02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6350</xdr:rowOff>
    </xdr:from>
    <xdr:to>
      <xdr:col>2</xdr:col>
      <xdr:colOff>31750</xdr:colOff>
      <xdr:row>157</xdr:row>
      <xdr:rowOff>76200</xdr:rowOff>
    </xdr:to>
    <xdr:sp macro="" textlink="">
      <xdr:nvSpPr>
        <xdr:cNvPr id="3119" name="AutoShape 47">
          <a:extLst>
            <a:ext uri="{FF2B5EF4-FFF2-40B4-BE49-F238E27FC236}">
              <a16:creationId xmlns:a16="http://schemas.microsoft.com/office/drawing/2014/main" id="{6ABC0CEF-5E1E-ABD0-F03E-088184B2A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82550</xdr:rowOff>
    </xdr:from>
    <xdr:to>
      <xdr:col>2</xdr:col>
      <xdr:colOff>31750</xdr:colOff>
      <xdr:row>162</xdr:row>
      <xdr:rowOff>152400</xdr:rowOff>
    </xdr:to>
    <xdr:sp macro="" textlink="">
      <xdr:nvSpPr>
        <xdr:cNvPr id="3120" name="AutoShape 48">
          <a:extLst>
            <a:ext uri="{FF2B5EF4-FFF2-40B4-BE49-F238E27FC236}">
              <a16:creationId xmlns:a16="http://schemas.microsoft.com/office/drawing/2014/main" id="{5BAF9F02-3C6B-FFDC-39F9-FB3BFF253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158750</xdr:rowOff>
    </xdr:from>
    <xdr:to>
      <xdr:col>2</xdr:col>
      <xdr:colOff>31750</xdr:colOff>
      <xdr:row>168</xdr:row>
      <xdr:rowOff>44450</xdr:rowOff>
    </xdr:to>
    <xdr:sp macro="" textlink="">
      <xdr:nvSpPr>
        <xdr:cNvPr id="3121" name="AutoShape 49">
          <a:extLst>
            <a:ext uri="{FF2B5EF4-FFF2-40B4-BE49-F238E27FC236}">
              <a16:creationId xmlns:a16="http://schemas.microsoft.com/office/drawing/2014/main" id="{4678753B-8991-87CC-A865-1E121B546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127000</xdr:rowOff>
    </xdr:from>
    <xdr:to>
      <xdr:col>2</xdr:col>
      <xdr:colOff>31750</xdr:colOff>
      <xdr:row>179</xdr:row>
      <xdr:rowOff>12700</xdr:rowOff>
    </xdr:to>
    <xdr:sp macro="" textlink="">
      <xdr:nvSpPr>
        <xdr:cNvPr id="3123" name="AutoShape 51">
          <a:extLst>
            <a:ext uri="{FF2B5EF4-FFF2-40B4-BE49-F238E27FC236}">
              <a16:creationId xmlns:a16="http://schemas.microsoft.com/office/drawing/2014/main" id="{E8266060-8E54-E8CD-FDC3-D0EDE9BDB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19050</xdr:rowOff>
    </xdr:from>
    <xdr:to>
      <xdr:col>2</xdr:col>
      <xdr:colOff>31750</xdr:colOff>
      <xdr:row>184</xdr:row>
      <xdr:rowOff>88900</xdr:rowOff>
    </xdr:to>
    <xdr:sp macro="" textlink="">
      <xdr:nvSpPr>
        <xdr:cNvPr id="3124" name="AutoShape 52">
          <a:extLst>
            <a:ext uri="{FF2B5EF4-FFF2-40B4-BE49-F238E27FC236}">
              <a16:creationId xmlns:a16="http://schemas.microsoft.com/office/drawing/2014/main" id="{0E44DD37-6024-670B-0CD3-39C4932AD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95250</xdr:rowOff>
    </xdr:from>
    <xdr:to>
      <xdr:col>2</xdr:col>
      <xdr:colOff>31750</xdr:colOff>
      <xdr:row>189</xdr:row>
      <xdr:rowOff>165100</xdr:rowOff>
    </xdr:to>
    <xdr:sp macro="" textlink="">
      <xdr:nvSpPr>
        <xdr:cNvPr id="3125" name="AutoShape 53">
          <a:extLst>
            <a:ext uri="{FF2B5EF4-FFF2-40B4-BE49-F238E27FC236}">
              <a16:creationId xmlns:a16="http://schemas.microsoft.com/office/drawing/2014/main" id="{ED5BB76A-FA25-60E2-B956-FFF55A814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606329D-8D8F-4F29-863F-6FBF6D7363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2339F088-54BD-44B5-B620-60AE6FC411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4FA5E70-94B6-443F-9E7D-9D586611F8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1F541B64-D732-4DC1-9E4B-B54A541A472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760CE869-2B9A-49CF-9A32-50E0255B70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9C94390-8721-4880-8328-625D231A96D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2389F7C-1F3B-471F-AC43-38CD7A8D1BC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FBE18FC-F38E-44E4-8542-DFBCFA04FD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8C81F111-8F52-4E57-8995-73EF63814B6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43F33725-1DA1-47B8-8356-BDE9F6F3FE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28A4114-E541-4FB8-BBEA-4130FDA96A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05FD373-F7DB-41F2-9496-886867F5E2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23D2254D-8228-45ED-9CC9-EA4071CBE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9831E9A0-E8B1-4B7E-8CF6-3754D5A438F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5FDAD890-234E-471B-913C-EFAFCDB7D5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A615866D-4E92-4AA1-B60E-4370658436E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7C29AECB-8F06-41EE-B158-CB4909E114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5F5A2A4B-008B-4D74-AAE9-8DA093F81E1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E2EB4B0E-8894-4F28-B955-1525D50DDFF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1E0E8A2E-1765-4C79-B5B2-572C9CF41A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E1ED7380-38FA-4101-B1BE-1AD18C7812F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64961B0E-01D8-424F-A09D-CE3D3B0EE0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E53013A-5024-42F7-B5E4-B391531A3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E1EDAF00-34FF-4E03-9A60-2417A56FEAF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5319EEEE-5352-4C5C-9897-6E3B29B9D5A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48BE4725-B6D9-4DA5-8FB1-BF42966048C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67F9030A-E9AF-42F1-BF0D-31B38516AB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1F8A90DB-3968-4373-9A0F-DA46DE529EA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B20758BE-73CD-40B1-9E30-4C67ABD5B2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6FAA919D-C4DD-4D95-A994-5D68C6EAC3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423FF867-DDE5-45B3-B08C-2460515EF10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78184444-D02F-419E-9DE6-DD0F4CA9ADA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A162FD3-5ECD-40CF-9B58-5D0214A71B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859537E0-0C9B-4CE8-8F38-CC47F4A41C9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1183A942-29CD-4EFA-BDF3-B68401C4DC0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C49CD32D-6FC1-45D9-B57C-C99756CA27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62ECC5A-67D8-43CC-AE26-3B9B392526C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A10FA82-CA09-4A71-AC7B-A587C138CBA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9D45649A-78A7-4352-8F19-1F8873D8625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CD8B6012-D281-403C-9F9A-B2AD0E08C3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C6A3AB8-C9A0-4A33-B6B9-C5A076D3D6D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CBFA95BC-785E-4ED3-A679-148F4A9502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99735F65-AEC8-481A-B83B-5BE00F083D4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FB24B8B6-4B25-4696-803E-B26980D242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335138CD-52F3-4AF0-BE27-4073DD4D05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7688F75F-6B68-4DB2-9365-D436F5256B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6C080303-42CC-43A7-A3C3-BCB8B612D49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D5629543-E74F-45AF-B404-BC9C5F26DC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44F47E73-55EE-44A2-853A-7B1FEA2D4C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35711F27-1A03-459D-AF6F-06BB1623A0F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1A792152-E8D3-4AB3-9AAB-A874A8C4EF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E58DFBA6-28E6-4AA6-A7C6-33B37FA89D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CAF766FF-65C7-4B70-BFD5-EA490D2DF1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1C9D5A38-8056-400C-9432-1293E8E17B7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D59AB4F6-1B03-47C3-82F1-D9A2B5C4046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D5D159CF-92BE-4C97-B660-F4383CDC0F4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F997C12D-5CDF-473A-84BB-629513F7577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7AAC8AA3-763A-494F-A053-89384DC1A0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0EA3410E-EEE5-408E-AF6F-A196B02A1B2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B004152A-8E21-416C-8BDD-1201E7797C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B3B7F522-7D4D-440B-B52E-F7CFC5CF55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B622F7C6-17F2-4133-B5BD-945B3C66E2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0E54579E-6E32-4A39-B137-0635FA3B6A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7D42AD76-65B5-4AF4-A5CA-1A2E7F54213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6A3F30C9-5332-4315-B94C-564DB562723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89DAFF45-8296-447B-BB2F-652D4AFC4E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003451B4-7419-4D4E-AA43-E4DFCC65607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46317561-CD01-4965-B764-2C7206C141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34BEFB42-ACB9-4FBF-B529-659E19E191C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1521944C-EF4E-4AE1-AD7B-9ACDD3C9E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8AD18059-3EF7-4BFB-90B1-64DDC9FAA7D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1CA77A65-D0E5-4B8B-ADD1-8A3D37F345E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1E7A2867-FE6D-4DEE-B1C8-94485A9044C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DFDBFD3C-763E-4FD5-A1A3-CC53A8ED79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CAE4121F-69A1-4767-90E0-994AC526AD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A1F92F0B-F51C-47F2-8D01-B4FC20BE10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65340EF3-4A9E-4030-93A2-42D9C09AE24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4F5822BF-D41E-4A59-B440-60110B6A0A7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2BA9FD2B-4839-44BD-917A-A00280B7F4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90E24C9E-16B0-48F2-9E13-CBBC077E112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A1059147-A13D-4C7F-9F5B-4F4995B597F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430E31A4-BA94-4C8B-B4D6-01D7C4D2459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1970DA3A-E20F-4FFB-9C0D-9D8765946E2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F2AC484C-2C62-4DD3-9E3C-31CE1C42BB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71380F64-67AD-4931-8B82-2614DB3D1A4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964B7D46-C635-4C94-A088-AF86A57B30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AC69EB97-8874-4021-A315-EF35A7CFAB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E7A7884A-F7A8-47E7-8D74-8742FDA48F5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A962CD45-1735-42CE-8682-9868950EB1A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D08746E2-0AFD-4BBA-A325-1FC522DCB4B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815E9A97-49F1-41AB-9057-6BEEAA6692F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B32BC5FB-2A16-4353-8A32-54A04EA9F67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BAA8A6FE-DB7B-4374-9429-6B7E89944F1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CEA0CFDA-DB6E-4921-B0DD-A08BE9F527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31210B1E-35C4-4659-B253-5FC3E6FC69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27FB3E29-FE9C-4F56-9617-31841262AD7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3E32F6DB-A9E1-4A8D-BA11-F42315A51CE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454AF0CC-29A6-40AC-B68B-BB0CCC6119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8A90D01B-129D-40BE-88E1-4524182371A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87EE03DF-4E94-4A39-8835-9060A9DDF60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C073968E-9F9F-4AD3-A270-F88679ADDDE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EC38F1F0-2A2F-4F83-AB85-5EB9660406C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FF5A419B-F629-438F-9E57-A1AA98460F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5C8CAABD-511E-42AD-8EEE-BB531B6E65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6851EC29-8D7F-4C8A-BB1A-C8489BD78D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E83A85DF-CAD4-4136-AC0C-B98DD68FFD0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6D292E2B-DEF4-4DA2-BF11-EE28A1022E4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C51CEB44-45AB-4586-9FC3-FB21072ED64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6AD719E8-1722-4664-8B69-29B8CA8300B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27EA64A5-66B8-4DAE-AA0F-EB03231FA5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D22ECE8C-0676-4718-B487-F2F8F414B58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3526EEDB-DD3F-448D-A4EF-9AE5AF83662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F36ED1B8-D8F0-4E2C-945C-5BE2BA7D0B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660B678B-F081-42C4-B5A7-6AE7C0D950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89C0F623-6B85-46F4-B636-CB3B8495A91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D5E060B4-BE02-4895-8B8C-B95E0524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3980734F-70A9-4F79-A29F-8FCF4A051F0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09EA9443-2B1E-48E7-BE26-38214A84ECB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68CF9BCC-F847-42BA-ADF7-FF6785FB49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8C90E286-94EF-4BC4-823E-4F801D445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4BBFD40C-7A64-4657-9AD7-2BD5564AB53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36018048-E463-4FBD-9DB6-B72417CCA3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FB4A7C47-81B7-4A7C-8DB5-E3C6F8548C2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FB0A2564-C658-497D-B73A-1030511F273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4BA8B00E-0A54-483D-AA97-E5CD9C59C3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F4F63946-B1B8-4212-85DD-AA2E131503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72A151F9-49EB-40F0-A050-68E046B86F5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C73B7033-00A6-4138-925C-ED3F140EAA5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80E36AF0-8428-44B9-BF93-1B026AC645E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968AFB6F-EE48-47CA-900C-4AB84E583D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AB30BE50-CDF5-44D7-930A-960DAE09C4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3EC63898-91C8-4E60-8199-D8A5F36A56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7876373B-A307-42E7-8CC1-ECD21F8E47A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E9855795-7F5B-4B18-81E2-95DDDB5AA0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FA146D8D-170C-42DD-8E4C-AE767F7E3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F8759923-25F0-43EC-BDAB-C9662E275E8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9F5BE20B-12B6-4283-8464-D0E56E8A7A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E96A7B07-CD8F-4960-A66D-035B6C64074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FC30D2F3-4A52-4698-BB5F-96B8FD5D6C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20922356-7335-4979-A8EA-63055ACD85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81B13B30-29BF-4943-8C36-3C760373FEA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ED09CD9B-725A-46C1-A01B-AAE7EA28D4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ADC59566-171A-437C-B5C1-E10F4CE59DC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E9C6A9CA-6444-4B85-B3BC-F5AA90216C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68153BE2-CAD5-4650-B776-C358858996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E3567FF4-D37F-457B-9446-EB699DD16D9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0CD856BD-159F-4CD7-AAFE-A02A4BB56B8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715D5472-8C0E-4485-A872-C6F8F71A94E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2D3E2F35-CC17-4E85-9E96-7ECB29CAE8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D355EB07-7706-4DA2-BC26-22CAA869E68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0E1FEEAC-474D-4DB0-BCA5-583D8330081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567F0527-D2F6-4B36-99BC-3EB11F7E264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06203242-36EF-4E8E-9BDB-21826301F25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C348371F-C6A0-4EE7-9D46-8764CAF63A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F66C1234-F2A7-445A-9979-4860A832E2F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A2004DC6-4D32-4929-8E5A-99BE7EAEE64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DA4EA51A-67FB-42D3-AE32-A271C741EA1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42644FBD-84E3-4D85-AF03-5CDF0284AF6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08408D25-4D90-4388-BCC6-60FEF03C8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90C9B851-BE6C-4A42-8EFA-AC45B574564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4F12885E-60D8-4C88-881E-073796B7327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351F87AE-AAF5-4BA5-B9F4-96E08DC7EEF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CCC1FBA3-2DD8-41EE-BC4A-F89EA5C3397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97BDF338-E6AF-4028-85BB-74E73226B32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7BD08BA8-5D50-40A5-B461-DED36AF68D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48FB6337-F314-4100-AA97-43869654FD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E42E9B84-A10D-43CD-9F8C-5A653E482E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FCFCE071-0FEA-4D49-B992-A8FE3EB7DA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3DDC611F-9177-405A-9B4B-95BCC104B40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B34E1858-AF4F-4AAC-8679-7BE6219D0B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8A30D6F4-6AE6-4403-89EA-5BCD3323E3C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5E25F97D-0810-42DC-86F4-D0FD97ABA34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8673F722-5865-4B68-A2A7-6526AEF4FC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B124AA17-F5E3-4E24-9CBA-78DF8A87599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F7AD0D27-C239-4544-AE29-46FC6EAEFB4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4E5AF134-6AEE-499D-8BC0-83BDE47FF87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6C26AE26-5B3C-4B13-A90D-8D20A1687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A0D9D9D5-C4CE-4C20-B00F-1672A9D135A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54A36E9E-376D-42D5-836B-3364AED3F95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96B5F603-33E9-4C0E-B51F-6AA85C009BD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082FA974-C6C3-443F-8DB9-F797D5FA0D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5A2DF91A-7785-4309-9420-2DEFB9F08B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F293B00F-5FF7-4398-8794-CF75A9DE05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69984655-3F75-4EE7-A916-7E476C9EE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D9761561-29BC-463D-A9E5-9199F1D5C70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F5F815C1-5877-4755-87C3-E2D60F762BB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41946AEF-89BC-4647-94AB-6BA63F39051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CFAA3DEB-A7F2-47D0-8CFD-53A1F1EA3AA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D1CD24CF-10D4-47C2-AEDE-689E7A66241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6</xdr:col>
      <xdr:colOff>234950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C36434-E1BD-44CF-A97E-0CEFFC5D7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622588</xdr:colOff>
      <xdr:row>17</xdr:row>
      <xdr:rowOff>55418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EB08878A-66A9-E949-C6D5-EBEA22A6A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444500</xdr:rowOff>
    </xdr:from>
    <xdr:to>
      <xdr:col>1</xdr:col>
      <xdr:colOff>622588</xdr:colOff>
      <xdr:row>19</xdr:row>
      <xdr:rowOff>44450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B6BE76A8-6D43-BB4F-78CF-DFB759939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177800</xdr:rowOff>
    </xdr:from>
    <xdr:to>
      <xdr:col>1</xdr:col>
      <xdr:colOff>622588</xdr:colOff>
      <xdr:row>21</xdr:row>
      <xdr:rowOff>38101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E23B8693-E613-170D-BABC-E7A36070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781050</xdr:rowOff>
    </xdr:from>
    <xdr:to>
      <xdr:col>1</xdr:col>
      <xdr:colOff>622588</xdr:colOff>
      <xdr:row>22</xdr:row>
      <xdr:rowOff>44450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FCEE1050-6378-27E3-90EA-150830282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5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622588</xdr:colOff>
      <xdr:row>23</xdr:row>
      <xdr:rowOff>50801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65F1E6B7-4616-BEE9-634B-B0522730F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5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781050</xdr:rowOff>
    </xdr:from>
    <xdr:to>
      <xdr:col>1</xdr:col>
      <xdr:colOff>622588</xdr:colOff>
      <xdr:row>25</xdr:row>
      <xdr:rowOff>49068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178AD57B-7A33-3D0F-3A01-9F35EF564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86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336550</xdr:rowOff>
    </xdr:from>
    <xdr:to>
      <xdr:col>1</xdr:col>
      <xdr:colOff>622588</xdr:colOff>
      <xdr:row>27</xdr:row>
      <xdr:rowOff>50800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94D0087C-D0CF-83E0-27F3-16F552729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20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444500</xdr:rowOff>
    </xdr:from>
    <xdr:to>
      <xdr:col>1</xdr:col>
      <xdr:colOff>622588</xdr:colOff>
      <xdr:row>28</xdr:row>
      <xdr:rowOff>49067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6120DAC2-EDD6-ED38-745A-E5D796B66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17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622588</xdr:colOff>
      <xdr:row>29</xdr:row>
      <xdr:rowOff>50800</xdr:rowOff>
    </xdr:to>
    <xdr:sp macro="" textlink="">
      <xdr:nvSpPr>
        <xdr:cNvPr id="5129" name="AutoShape 9">
          <a:extLst>
            <a:ext uri="{FF2B5EF4-FFF2-40B4-BE49-F238E27FC236}">
              <a16:creationId xmlns:a16="http://schemas.microsoft.com/office/drawing/2014/main" id="{47EC84FA-028D-9893-401E-278B71FEA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35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622300</xdr:rowOff>
    </xdr:from>
    <xdr:to>
      <xdr:col>1</xdr:col>
      <xdr:colOff>622588</xdr:colOff>
      <xdr:row>31</xdr:row>
      <xdr:rowOff>55418</xdr:rowOff>
    </xdr:to>
    <xdr:sp macro="" textlink="">
      <xdr:nvSpPr>
        <xdr:cNvPr id="5130" name="AutoShape 10">
          <a:extLst>
            <a:ext uri="{FF2B5EF4-FFF2-40B4-BE49-F238E27FC236}">
              <a16:creationId xmlns:a16="http://schemas.microsoft.com/office/drawing/2014/main" id="{B8B41F98-EFF2-82DE-2C5A-0913AB1F2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84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622588</xdr:colOff>
      <xdr:row>32</xdr:row>
      <xdr:rowOff>55418</xdr:rowOff>
    </xdr:to>
    <xdr:sp macro="" textlink="">
      <xdr:nvSpPr>
        <xdr:cNvPr id="5131" name="AutoShape 11">
          <a:extLst>
            <a:ext uri="{FF2B5EF4-FFF2-40B4-BE49-F238E27FC236}">
              <a16:creationId xmlns:a16="http://schemas.microsoft.com/office/drawing/2014/main" id="{AA0B94F3-12D0-7A4A-F740-A7AE8083A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17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69850</xdr:rowOff>
    </xdr:from>
    <xdr:to>
      <xdr:col>1</xdr:col>
      <xdr:colOff>622588</xdr:colOff>
      <xdr:row>34</xdr:row>
      <xdr:rowOff>125269</xdr:rowOff>
    </xdr:to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2D8AC916-5AE0-44C0-3123-6C3F81E7E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52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514350</xdr:rowOff>
    </xdr:from>
    <xdr:to>
      <xdr:col>1</xdr:col>
      <xdr:colOff>622588</xdr:colOff>
      <xdr:row>36</xdr:row>
      <xdr:rowOff>55418</xdr:rowOff>
    </xdr:to>
    <xdr:sp macro="" textlink="">
      <xdr:nvSpPr>
        <xdr:cNvPr id="5133" name="AutoShape 13">
          <a:extLst>
            <a:ext uri="{FF2B5EF4-FFF2-40B4-BE49-F238E27FC236}">
              <a16:creationId xmlns:a16="http://schemas.microsoft.com/office/drawing/2014/main" id="{01E968EB-DE6A-DEBF-63B9-4ABCE5F89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84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406400</xdr:rowOff>
    </xdr:from>
    <xdr:to>
      <xdr:col>1</xdr:col>
      <xdr:colOff>622588</xdr:colOff>
      <xdr:row>38</xdr:row>
      <xdr:rowOff>55417</xdr:rowOff>
    </xdr:to>
    <xdr:sp macro="" textlink="">
      <xdr:nvSpPr>
        <xdr:cNvPr id="5134" name="AutoShape 14">
          <a:extLst>
            <a:ext uri="{FF2B5EF4-FFF2-40B4-BE49-F238E27FC236}">
              <a16:creationId xmlns:a16="http://schemas.microsoft.com/office/drawing/2014/main" id="{BA2696D6-CCA9-EB5B-341B-2D122BDEC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840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476250</xdr:rowOff>
    </xdr:from>
    <xdr:to>
      <xdr:col>1</xdr:col>
      <xdr:colOff>622588</xdr:colOff>
      <xdr:row>40</xdr:row>
      <xdr:rowOff>50800</xdr:rowOff>
    </xdr:to>
    <xdr:sp macro="" textlink="">
      <xdr:nvSpPr>
        <xdr:cNvPr id="5135" name="AutoShape 15">
          <a:extLst>
            <a:ext uri="{FF2B5EF4-FFF2-40B4-BE49-F238E27FC236}">
              <a16:creationId xmlns:a16="http://schemas.microsoft.com/office/drawing/2014/main" id="{CDE9AA48-BF17-4A50-07CA-FC7074C99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387350</xdr:rowOff>
    </xdr:from>
    <xdr:to>
      <xdr:col>1</xdr:col>
      <xdr:colOff>622588</xdr:colOff>
      <xdr:row>42</xdr:row>
      <xdr:rowOff>44449</xdr:rowOff>
    </xdr:to>
    <xdr:sp macro="" textlink="">
      <xdr:nvSpPr>
        <xdr:cNvPr id="5136" name="AutoShape 16">
          <a:extLst>
            <a:ext uri="{FF2B5EF4-FFF2-40B4-BE49-F238E27FC236}">
              <a16:creationId xmlns:a16="http://schemas.microsoft.com/office/drawing/2014/main" id="{11373961-56E0-22A5-BC89-7CB9F0636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85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63500</xdr:rowOff>
    </xdr:from>
    <xdr:to>
      <xdr:col>1</xdr:col>
      <xdr:colOff>622588</xdr:colOff>
      <xdr:row>47</xdr:row>
      <xdr:rowOff>114300</xdr:rowOff>
    </xdr:to>
    <xdr:sp macro="" textlink="">
      <xdr:nvSpPr>
        <xdr:cNvPr id="5139" name="AutoShape 19">
          <a:extLst>
            <a:ext uri="{FF2B5EF4-FFF2-40B4-BE49-F238E27FC236}">
              <a16:creationId xmlns:a16="http://schemas.microsoft.com/office/drawing/2014/main" id="{62819FD6-FE18-A3A5-64DA-947B7B3B4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7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330200</xdr:rowOff>
    </xdr:from>
    <xdr:to>
      <xdr:col>1</xdr:col>
      <xdr:colOff>622588</xdr:colOff>
      <xdr:row>49</xdr:row>
      <xdr:rowOff>44450</xdr:rowOff>
    </xdr:to>
    <xdr:sp macro="" textlink="">
      <xdr:nvSpPr>
        <xdr:cNvPr id="5140" name="AutoShape 20">
          <a:extLst>
            <a:ext uri="{FF2B5EF4-FFF2-40B4-BE49-F238E27FC236}">
              <a16:creationId xmlns:a16="http://schemas.microsoft.com/office/drawing/2014/main" id="{C553EEC7-0E70-DC5D-A1A9-1D4921AEA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2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438150</xdr:rowOff>
    </xdr:from>
    <xdr:to>
      <xdr:col>1</xdr:col>
      <xdr:colOff>622588</xdr:colOff>
      <xdr:row>50</xdr:row>
      <xdr:rowOff>44450</xdr:rowOff>
    </xdr:to>
    <xdr:sp macro="" textlink="">
      <xdr:nvSpPr>
        <xdr:cNvPr id="5141" name="AutoShape 21">
          <a:extLst>
            <a:ext uri="{FF2B5EF4-FFF2-40B4-BE49-F238E27FC236}">
              <a16:creationId xmlns:a16="http://schemas.microsoft.com/office/drawing/2014/main" id="{7B3B8E3B-6B29-7241-3635-282E506C8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23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12700</xdr:rowOff>
    </xdr:from>
    <xdr:to>
      <xdr:col>1</xdr:col>
      <xdr:colOff>622588</xdr:colOff>
      <xdr:row>51</xdr:row>
      <xdr:rowOff>63500</xdr:rowOff>
    </xdr:to>
    <xdr:sp macro="" textlink="">
      <xdr:nvSpPr>
        <xdr:cNvPr id="5142" name="AutoShape 22">
          <a:extLst>
            <a:ext uri="{FF2B5EF4-FFF2-40B4-BE49-F238E27FC236}">
              <a16:creationId xmlns:a16="http://schemas.microsoft.com/office/drawing/2014/main" id="{59748492-66D7-8E82-4A03-60F2193C9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320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457200</xdr:rowOff>
    </xdr:from>
    <xdr:to>
      <xdr:col>1</xdr:col>
      <xdr:colOff>622588</xdr:colOff>
      <xdr:row>53</xdr:row>
      <xdr:rowOff>44449</xdr:rowOff>
    </xdr:to>
    <xdr:sp macro="" textlink="">
      <xdr:nvSpPr>
        <xdr:cNvPr id="5143" name="AutoShape 23">
          <a:extLst>
            <a:ext uri="{FF2B5EF4-FFF2-40B4-BE49-F238E27FC236}">
              <a16:creationId xmlns:a16="http://schemas.microsoft.com/office/drawing/2014/main" id="{BCD665AA-0F04-F470-0421-072BBEA54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76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368300</xdr:rowOff>
    </xdr:from>
    <xdr:to>
      <xdr:col>1</xdr:col>
      <xdr:colOff>622588</xdr:colOff>
      <xdr:row>55</xdr:row>
      <xdr:rowOff>44450</xdr:rowOff>
    </xdr:to>
    <xdr:sp macro="" textlink="">
      <xdr:nvSpPr>
        <xdr:cNvPr id="5144" name="AutoShape 24">
          <a:extLst>
            <a:ext uri="{FF2B5EF4-FFF2-40B4-BE49-F238E27FC236}">
              <a16:creationId xmlns:a16="http://schemas.microsoft.com/office/drawing/2014/main" id="{766CB7A0-C7BF-C1B6-0CA9-908029FBA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0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419100</xdr:rowOff>
    </xdr:from>
    <xdr:to>
      <xdr:col>1</xdr:col>
      <xdr:colOff>622588</xdr:colOff>
      <xdr:row>57</xdr:row>
      <xdr:rowOff>53687</xdr:rowOff>
    </xdr:to>
    <xdr:sp macro="" textlink="">
      <xdr:nvSpPr>
        <xdr:cNvPr id="5145" name="AutoShape 25">
          <a:extLst>
            <a:ext uri="{FF2B5EF4-FFF2-40B4-BE49-F238E27FC236}">
              <a16:creationId xmlns:a16="http://schemas.microsoft.com/office/drawing/2014/main" id="{E58CEFE6-0334-C857-BB65-A4001F592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6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146050</xdr:rowOff>
    </xdr:from>
    <xdr:to>
      <xdr:col>1</xdr:col>
      <xdr:colOff>622588</xdr:colOff>
      <xdr:row>60</xdr:row>
      <xdr:rowOff>21936</xdr:rowOff>
    </xdr:to>
    <xdr:sp macro="" textlink="">
      <xdr:nvSpPr>
        <xdr:cNvPr id="5146" name="AutoShape 26">
          <a:extLst>
            <a:ext uri="{FF2B5EF4-FFF2-40B4-BE49-F238E27FC236}">
              <a16:creationId xmlns:a16="http://schemas.microsoft.com/office/drawing/2014/main" id="{4F16DEBB-8DD0-6184-721F-AB741B2FB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9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38100</xdr:rowOff>
    </xdr:from>
    <xdr:to>
      <xdr:col>1</xdr:col>
      <xdr:colOff>269008</xdr:colOff>
      <xdr:row>61</xdr:row>
      <xdr:rowOff>107950</xdr:rowOff>
    </xdr:to>
    <xdr:sp macro="" textlink="">
      <xdr:nvSpPr>
        <xdr:cNvPr id="5147" name="AutoShape 27">
          <a:extLst>
            <a:ext uri="{FF2B5EF4-FFF2-40B4-BE49-F238E27FC236}">
              <a16:creationId xmlns:a16="http://schemas.microsoft.com/office/drawing/2014/main" id="{9D220E96-C6E4-CA1F-5316-8B87DC911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29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114300</xdr:rowOff>
    </xdr:from>
    <xdr:to>
      <xdr:col>1</xdr:col>
      <xdr:colOff>269008</xdr:colOff>
      <xdr:row>64</xdr:row>
      <xdr:rowOff>181263</xdr:rowOff>
    </xdr:to>
    <xdr:sp macro="" textlink="">
      <xdr:nvSpPr>
        <xdr:cNvPr id="5148" name="AutoShape 28">
          <a:extLst>
            <a:ext uri="{FF2B5EF4-FFF2-40B4-BE49-F238E27FC236}">
              <a16:creationId xmlns:a16="http://schemas.microsoft.com/office/drawing/2014/main" id="{777C8CE4-4831-E4B8-DC91-04BF20DAC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29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6350</xdr:rowOff>
    </xdr:from>
    <xdr:to>
      <xdr:col>1</xdr:col>
      <xdr:colOff>269008</xdr:colOff>
      <xdr:row>69</xdr:row>
      <xdr:rowOff>76200</xdr:rowOff>
    </xdr:to>
    <xdr:sp macro="" textlink="">
      <xdr:nvSpPr>
        <xdr:cNvPr id="5149" name="AutoShape 29">
          <a:extLst>
            <a:ext uri="{FF2B5EF4-FFF2-40B4-BE49-F238E27FC236}">
              <a16:creationId xmlns:a16="http://schemas.microsoft.com/office/drawing/2014/main" id="{499C86C7-C039-52F1-53DA-CDA64F4E8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57150</xdr:rowOff>
    </xdr:from>
    <xdr:to>
      <xdr:col>1</xdr:col>
      <xdr:colOff>269008</xdr:colOff>
      <xdr:row>74</xdr:row>
      <xdr:rowOff>127000</xdr:rowOff>
    </xdr:to>
    <xdr:sp macro="" textlink="">
      <xdr:nvSpPr>
        <xdr:cNvPr id="5150" name="AutoShape 30">
          <a:extLst>
            <a:ext uri="{FF2B5EF4-FFF2-40B4-BE49-F238E27FC236}">
              <a16:creationId xmlns:a16="http://schemas.microsoft.com/office/drawing/2014/main" id="{DD102755-0AA5-40D5-0640-F1831F5FE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45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133350</xdr:rowOff>
    </xdr:from>
    <xdr:to>
      <xdr:col>1</xdr:col>
      <xdr:colOff>269008</xdr:colOff>
      <xdr:row>79</xdr:row>
      <xdr:rowOff>19050</xdr:rowOff>
    </xdr:to>
    <xdr:sp macro="" textlink="">
      <xdr:nvSpPr>
        <xdr:cNvPr id="5151" name="AutoShape 31">
          <a:extLst>
            <a:ext uri="{FF2B5EF4-FFF2-40B4-BE49-F238E27FC236}">
              <a16:creationId xmlns:a16="http://schemas.microsoft.com/office/drawing/2014/main" id="{1C546475-157F-A2A2-5901-CE377D804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442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177800</xdr:rowOff>
    </xdr:from>
    <xdr:to>
      <xdr:col>1</xdr:col>
      <xdr:colOff>269008</xdr:colOff>
      <xdr:row>84</xdr:row>
      <xdr:rowOff>63500</xdr:rowOff>
    </xdr:to>
    <xdr:sp macro="" textlink="">
      <xdr:nvSpPr>
        <xdr:cNvPr id="5152" name="AutoShape 32">
          <a:extLst>
            <a:ext uri="{FF2B5EF4-FFF2-40B4-BE49-F238E27FC236}">
              <a16:creationId xmlns:a16="http://schemas.microsoft.com/office/drawing/2014/main" id="{AF59F1DD-394F-83AF-4824-826CB4D64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76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38100</xdr:rowOff>
    </xdr:from>
    <xdr:to>
      <xdr:col>1</xdr:col>
      <xdr:colOff>269008</xdr:colOff>
      <xdr:row>91</xdr:row>
      <xdr:rowOff>107950</xdr:rowOff>
    </xdr:to>
    <xdr:sp macro="" textlink="">
      <xdr:nvSpPr>
        <xdr:cNvPr id="5153" name="AutoShape 33">
          <a:extLst>
            <a:ext uri="{FF2B5EF4-FFF2-40B4-BE49-F238E27FC236}">
              <a16:creationId xmlns:a16="http://schemas.microsoft.com/office/drawing/2014/main" id="{5A85B891-E304-575C-82F5-D9A644E82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88900</xdr:rowOff>
    </xdr:from>
    <xdr:to>
      <xdr:col>1</xdr:col>
      <xdr:colOff>269008</xdr:colOff>
      <xdr:row>97</xdr:row>
      <xdr:rowOff>158750</xdr:rowOff>
    </xdr:to>
    <xdr:sp macro="" textlink="">
      <xdr:nvSpPr>
        <xdr:cNvPr id="5154" name="AutoShape 34">
          <a:extLst>
            <a:ext uri="{FF2B5EF4-FFF2-40B4-BE49-F238E27FC236}">
              <a16:creationId xmlns:a16="http://schemas.microsoft.com/office/drawing/2014/main" id="{108CE54D-DBF2-5AA6-E69C-384376E5E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265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139700</xdr:rowOff>
    </xdr:from>
    <xdr:to>
      <xdr:col>1</xdr:col>
      <xdr:colOff>622588</xdr:colOff>
      <xdr:row>104</xdr:row>
      <xdr:rowOff>25399</xdr:rowOff>
    </xdr:to>
    <xdr:sp macro="" textlink="">
      <xdr:nvSpPr>
        <xdr:cNvPr id="5155" name="AutoShape 35">
          <a:extLst>
            <a:ext uri="{FF2B5EF4-FFF2-40B4-BE49-F238E27FC236}">
              <a16:creationId xmlns:a16="http://schemas.microsoft.com/office/drawing/2014/main" id="{E37D803B-2DBE-5749-335F-34F33B678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421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6350</xdr:rowOff>
    </xdr:from>
    <xdr:to>
      <xdr:col>1</xdr:col>
      <xdr:colOff>622588</xdr:colOff>
      <xdr:row>109</xdr:row>
      <xdr:rowOff>76200</xdr:rowOff>
    </xdr:to>
    <xdr:sp macro="" textlink="">
      <xdr:nvSpPr>
        <xdr:cNvPr id="5156" name="AutoShape 36">
          <a:extLst>
            <a:ext uri="{FF2B5EF4-FFF2-40B4-BE49-F238E27FC236}">
              <a16:creationId xmlns:a16="http://schemas.microsoft.com/office/drawing/2014/main" id="{479EC55E-BD41-F031-ADA4-3B147F992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5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57150</xdr:rowOff>
    </xdr:from>
    <xdr:to>
      <xdr:col>1</xdr:col>
      <xdr:colOff>622588</xdr:colOff>
      <xdr:row>115</xdr:row>
      <xdr:rowOff>127000</xdr:rowOff>
    </xdr:to>
    <xdr:sp macro="" textlink="">
      <xdr:nvSpPr>
        <xdr:cNvPr id="5157" name="AutoShape 37">
          <a:extLst>
            <a:ext uri="{FF2B5EF4-FFF2-40B4-BE49-F238E27FC236}">
              <a16:creationId xmlns:a16="http://schemas.microsoft.com/office/drawing/2014/main" id="{5BE1A09B-04F2-FB38-97F2-49BC65C4D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732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107950</xdr:rowOff>
    </xdr:from>
    <xdr:to>
      <xdr:col>1</xdr:col>
      <xdr:colOff>622588</xdr:colOff>
      <xdr:row>121</xdr:row>
      <xdr:rowOff>177800</xdr:rowOff>
    </xdr:to>
    <xdr:sp macro="" textlink="">
      <xdr:nvSpPr>
        <xdr:cNvPr id="5158" name="AutoShape 38">
          <a:extLst>
            <a:ext uri="{FF2B5EF4-FFF2-40B4-BE49-F238E27FC236}">
              <a16:creationId xmlns:a16="http://schemas.microsoft.com/office/drawing/2014/main" id="{687F5752-0E89-E63A-60AA-578DABB58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888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622588</xdr:colOff>
      <xdr:row>127</xdr:row>
      <xdr:rowOff>69850</xdr:rowOff>
    </xdr:to>
    <xdr:sp macro="" textlink="">
      <xdr:nvSpPr>
        <xdr:cNvPr id="5159" name="AutoShape 39">
          <a:extLst>
            <a:ext uri="{FF2B5EF4-FFF2-40B4-BE49-F238E27FC236}">
              <a16:creationId xmlns:a16="http://schemas.microsoft.com/office/drawing/2014/main" id="{39FCF791-164B-0D9C-D7DD-1C2F529DB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885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76200</xdr:rowOff>
    </xdr:from>
    <xdr:to>
      <xdr:col>1</xdr:col>
      <xdr:colOff>622588</xdr:colOff>
      <xdr:row>132</xdr:row>
      <xdr:rowOff>146050</xdr:rowOff>
    </xdr:to>
    <xdr:sp macro="" textlink="">
      <xdr:nvSpPr>
        <xdr:cNvPr id="5160" name="AutoShape 40">
          <a:extLst>
            <a:ext uri="{FF2B5EF4-FFF2-40B4-BE49-F238E27FC236}">
              <a16:creationId xmlns:a16="http://schemas.microsoft.com/office/drawing/2014/main" id="{8570FA70-AB5A-EBAE-20E3-6290402AE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82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127000</xdr:rowOff>
    </xdr:from>
    <xdr:to>
      <xdr:col>1</xdr:col>
      <xdr:colOff>622588</xdr:colOff>
      <xdr:row>139</xdr:row>
      <xdr:rowOff>12700</xdr:rowOff>
    </xdr:to>
    <xdr:sp macro="" textlink="">
      <xdr:nvSpPr>
        <xdr:cNvPr id="5161" name="AutoShape 41">
          <a:extLst>
            <a:ext uri="{FF2B5EF4-FFF2-40B4-BE49-F238E27FC236}">
              <a16:creationId xmlns:a16="http://schemas.microsoft.com/office/drawing/2014/main" id="{5F4D9AD1-272D-23C2-80A4-69E14712B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815B2C-2F89-4E98-B962-F0A77353DE5B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5BD8F76-DE33-41C9-B8A5-CBDF69B71673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567E714-D9B5-4CD8-8A30-84803266C01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CD5E0E5C-6AE8-4275-AC1B-21EB3FEE57C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DCAC5B7-1A20-4C42-BE9E-B6A2388221F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BC8FDCD-CC05-4B39-9AD3-543C9D46359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839396B-B6B7-46AD-89FC-7B07B803DC4B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C5F625D7-6FBF-41BC-99FC-0DB95DC0AA6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D807EE50-1B40-48CD-A170-A085134329E8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1D812C29-856A-484E-9315-FF02C08C66D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AC51CE3-A752-438D-AF82-AC6614400418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6BF7A5C9-A3FE-4A21-BBF4-EE381149D4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916D1BF6-7237-41C6-937A-22C80583862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A253457A-780B-431C-84CF-25B0ED7E3F9F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B54486F6-83AF-440E-9E6A-D13DAE7CDB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3028CCFC-CA1A-498A-9AB0-9F2D652A5207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487D754-5B81-4033-A482-B78BCBE6200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73A905C-D76D-4223-B962-22500C7150D2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99F01A0A-B633-42BF-AA3D-E7545B4D5E2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AACA44C-45B4-4F74-8EA3-0441EDA1B5C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31281983-5ADE-486D-91CE-EF42550F58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8E83C1B-2EE5-4D8E-A97E-85B5749EBF1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196E5675-8956-4353-8A2E-35D9742E18E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4DF2661-DCC8-4D96-A957-4AE63BEDA98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6B5DA987-0C51-459B-8106-C75C4DBF127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C7280F4-B8F3-46DE-9D88-B1E7DFC9B3D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2B583800-7648-47CD-82AA-E3EB42CFC52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9A7CA30-6CC0-41B3-B172-C713C2327AB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86AE1A-AC2A-4369-8FBA-C0AD547485C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9FEBBB4D-6D24-409F-A1E2-C2153F5731F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4E925454-77EE-4F1E-9EA0-31AE591406E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2ED44370-86ED-4CE5-A0DA-3FF1D650688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4E18EF7E-8941-4CF4-921A-5E8405937FEA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77BFBD1-3645-476F-8D2F-A8FEE167B0F3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6B4F4D55-5E8C-472C-ABD8-17394DF6328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43AA385-DBC5-475B-B30B-FDAA4652B56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5CE94799-EF69-4E72-A924-E4EFCF624FE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6</xdr:col>
      <xdr:colOff>127000</xdr:colOff>
      <xdr:row>7</xdr:row>
      <xdr:rowOff>107950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9DE9EB9D-D02D-4C37-80C5-47A68B11D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58</xdr:row>
      <xdr:rowOff>38100</xdr:rowOff>
    </xdr:from>
    <xdr:ext cx="622588" cy="632691"/>
    <xdr:sp macro="" textlink="">
      <xdr:nvSpPr>
        <xdr:cNvPr id="30" name="AutoShape 27">
          <a:extLst>
            <a:ext uri="{FF2B5EF4-FFF2-40B4-BE49-F238E27FC236}">
              <a16:creationId xmlns:a16="http://schemas.microsoft.com/office/drawing/2014/main" id="{6B277E3E-AA9E-403A-A0A1-1633358FF91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2665941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114300</xdr:rowOff>
    </xdr:from>
    <xdr:ext cx="622588" cy="636154"/>
    <xdr:sp macro="" textlink="">
      <xdr:nvSpPr>
        <xdr:cNvPr id="31" name="AutoShape 28">
          <a:extLst>
            <a:ext uri="{FF2B5EF4-FFF2-40B4-BE49-F238E27FC236}">
              <a16:creationId xmlns:a16="http://schemas.microsoft.com/office/drawing/2014/main" id="{EC1BB109-0258-41B4-8F2D-560C1B4D80C1}"/>
            </a:ext>
          </a:extLst>
        </xdr:cNvPr>
        <xdr:cNvSpPr>
          <a:spLocks noChangeAspect="1" noChangeArrowheads="1"/>
        </xdr:cNvSpPr>
      </xdr:nvSpPr>
      <xdr:spPr bwMode="auto">
        <a:xfrm>
          <a:off x="353580" y="13304982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6350</xdr:rowOff>
    </xdr:from>
    <xdr:ext cx="622588" cy="632691"/>
    <xdr:sp macro="" textlink="">
      <xdr:nvSpPr>
        <xdr:cNvPr id="42" name="AutoShape 29">
          <a:extLst>
            <a:ext uri="{FF2B5EF4-FFF2-40B4-BE49-F238E27FC236}">
              <a16:creationId xmlns:a16="http://schemas.microsoft.com/office/drawing/2014/main" id="{C98776E7-BEE2-4428-AC3C-08B4976AB6A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4135100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71</xdr:row>
      <xdr:rowOff>57150</xdr:rowOff>
    </xdr:from>
    <xdr:ext cx="622588" cy="632691"/>
    <xdr:sp macro="" textlink="">
      <xdr:nvSpPr>
        <xdr:cNvPr id="43" name="AutoShape 30">
          <a:extLst>
            <a:ext uri="{FF2B5EF4-FFF2-40B4-BE49-F238E27FC236}">
              <a16:creationId xmlns:a16="http://schemas.microsoft.com/office/drawing/2014/main" id="{BAD60202-0FD5-4B03-86A6-9F1BF48DD06F}"/>
            </a:ext>
          </a:extLst>
        </xdr:cNvPr>
        <xdr:cNvSpPr>
          <a:spLocks noChangeAspect="1" noChangeArrowheads="1"/>
        </xdr:cNvSpPr>
      </xdr:nvSpPr>
      <xdr:spPr bwMode="auto">
        <a:xfrm>
          <a:off x="353580" y="15123968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75</xdr:row>
      <xdr:rowOff>133350</xdr:rowOff>
    </xdr:from>
    <xdr:ext cx="622588" cy="636154"/>
    <xdr:sp macro="" textlink="">
      <xdr:nvSpPr>
        <xdr:cNvPr id="44" name="AutoShape 31">
          <a:extLst>
            <a:ext uri="{FF2B5EF4-FFF2-40B4-BE49-F238E27FC236}">
              <a16:creationId xmlns:a16="http://schemas.microsoft.com/office/drawing/2014/main" id="{78E32453-153E-4C18-B0D5-AD5A2A80A32D}"/>
            </a:ext>
          </a:extLst>
        </xdr:cNvPr>
        <xdr:cNvSpPr>
          <a:spLocks noChangeAspect="1" noChangeArrowheads="1"/>
        </xdr:cNvSpPr>
      </xdr:nvSpPr>
      <xdr:spPr bwMode="auto">
        <a:xfrm>
          <a:off x="353580" y="15950623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80</xdr:row>
      <xdr:rowOff>177800</xdr:rowOff>
    </xdr:from>
    <xdr:ext cx="622588" cy="636154"/>
    <xdr:sp macro="" textlink="">
      <xdr:nvSpPr>
        <xdr:cNvPr id="45" name="AutoShape 32">
          <a:extLst>
            <a:ext uri="{FF2B5EF4-FFF2-40B4-BE49-F238E27FC236}">
              <a16:creationId xmlns:a16="http://schemas.microsoft.com/office/drawing/2014/main" id="{CA432A0E-3F56-4BF1-9174-FBF8FA75CAEA}"/>
            </a:ext>
          </a:extLst>
        </xdr:cNvPr>
        <xdr:cNvSpPr>
          <a:spLocks noChangeAspect="1" noChangeArrowheads="1"/>
        </xdr:cNvSpPr>
      </xdr:nvSpPr>
      <xdr:spPr bwMode="auto">
        <a:xfrm>
          <a:off x="353580" y="16933141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88</xdr:row>
      <xdr:rowOff>38100</xdr:rowOff>
    </xdr:from>
    <xdr:ext cx="622588" cy="632691"/>
    <xdr:sp macro="" textlink="">
      <xdr:nvSpPr>
        <xdr:cNvPr id="46" name="AutoShape 33">
          <a:extLst>
            <a:ext uri="{FF2B5EF4-FFF2-40B4-BE49-F238E27FC236}">
              <a16:creationId xmlns:a16="http://schemas.microsoft.com/office/drawing/2014/main" id="{3BF70CFA-5734-4153-86CE-62AE3EA87BC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8294350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94</xdr:row>
      <xdr:rowOff>88900</xdr:rowOff>
    </xdr:from>
    <xdr:ext cx="622588" cy="632691"/>
    <xdr:sp macro="" textlink="">
      <xdr:nvSpPr>
        <xdr:cNvPr id="47" name="AutoShape 34">
          <a:extLst>
            <a:ext uri="{FF2B5EF4-FFF2-40B4-BE49-F238E27FC236}">
              <a16:creationId xmlns:a16="http://schemas.microsoft.com/office/drawing/2014/main" id="{28B5D2A3-A018-4CE1-B873-E17FFD72A125}"/>
            </a:ext>
          </a:extLst>
        </xdr:cNvPr>
        <xdr:cNvSpPr>
          <a:spLocks noChangeAspect="1" noChangeArrowheads="1"/>
        </xdr:cNvSpPr>
      </xdr:nvSpPr>
      <xdr:spPr bwMode="auto">
        <a:xfrm>
          <a:off x="353580" y="19470832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38100</xdr:rowOff>
    </xdr:from>
    <xdr:ext cx="622588" cy="632691"/>
    <xdr:sp macro="" textlink="">
      <xdr:nvSpPr>
        <xdr:cNvPr id="48" name="AutoShape 27">
          <a:extLst>
            <a:ext uri="{FF2B5EF4-FFF2-40B4-BE49-F238E27FC236}">
              <a16:creationId xmlns:a16="http://schemas.microsoft.com/office/drawing/2014/main" id="{0E5FB0EE-5642-406A-A558-8C953F6388E3}"/>
            </a:ext>
          </a:extLst>
        </xdr:cNvPr>
        <xdr:cNvSpPr>
          <a:spLocks noChangeAspect="1" noChangeArrowheads="1"/>
        </xdr:cNvSpPr>
      </xdr:nvSpPr>
      <xdr:spPr bwMode="auto">
        <a:xfrm>
          <a:off x="0" y="11280486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114300</xdr:rowOff>
    </xdr:from>
    <xdr:ext cx="622588" cy="629804"/>
    <xdr:sp macro="" textlink="">
      <xdr:nvSpPr>
        <xdr:cNvPr id="49" name="AutoShape 28">
          <a:extLst>
            <a:ext uri="{FF2B5EF4-FFF2-40B4-BE49-F238E27FC236}">
              <a16:creationId xmlns:a16="http://schemas.microsoft.com/office/drawing/2014/main" id="{DBC528B3-3DF2-416E-8028-5E9F68CA16C9}"/>
            </a:ext>
          </a:extLst>
        </xdr:cNvPr>
        <xdr:cNvSpPr>
          <a:spLocks noChangeAspect="1" noChangeArrowheads="1"/>
        </xdr:cNvSpPr>
      </xdr:nvSpPr>
      <xdr:spPr bwMode="auto">
        <a:xfrm>
          <a:off x="0" y="11919527"/>
          <a:ext cx="622588" cy="629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6350</xdr:rowOff>
    </xdr:from>
    <xdr:ext cx="622588" cy="632691"/>
    <xdr:sp macro="" textlink="">
      <xdr:nvSpPr>
        <xdr:cNvPr id="50" name="AutoShape 29">
          <a:extLst>
            <a:ext uri="{FF2B5EF4-FFF2-40B4-BE49-F238E27FC236}">
              <a16:creationId xmlns:a16="http://schemas.microsoft.com/office/drawing/2014/main" id="{7C7D2FAE-E10D-4E5C-A3B0-EBF93E80C8B1}"/>
            </a:ext>
          </a:extLst>
        </xdr:cNvPr>
        <xdr:cNvSpPr>
          <a:spLocks noChangeAspect="1" noChangeArrowheads="1"/>
        </xdr:cNvSpPr>
      </xdr:nvSpPr>
      <xdr:spPr bwMode="auto">
        <a:xfrm>
          <a:off x="0" y="1274964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57150</xdr:rowOff>
    </xdr:from>
    <xdr:ext cx="622588" cy="632691"/>
    <xdr:sp macro="" textlink="">
      <xdr:nvSpPr>
        <xdr:cNvPr id="51" name="AutoShape 30">
          <a:extLst>
            <a:ext uri="{FF2B5EF4-FFF2-40B4-BE49-F238E27FC236}">
              <a16:creationId xmlns:a16="http://schemas.microsoft.com/office/drawing/2014/main" id="{8A38CDF0-E11E-4BAF-8195-9A8F1253D6FB}"/>
            </a:ext>
          </a:extLst>
        </xdr:cNvPr>
        <xdr:cNvSpPr>
          <a:spLocks noChangeAspect="1" noChangeArrowheads="1"/>
        </xdr:cNvSpPr>
      </xdr:nvSpPr>
      <xdr:spPr bwMode="auto">
        <a:xfrm>
          <a:off x="0" y="13738514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75</xdr:row>
      <xdr:rowOff>133350</xdr:rowOff>
    </xdr:from>
    <xdr:ext cx="622588" cy="636154"/>
    <xdr:sp macro="" textlink="">
      <xdr:nvSpPr>
        <xdr:cNvPr id="52" name="AutoShape 31">
          <a:extLst>
            <a:ext uri="{FF2B5EF4-FFF2-40B4-BE49-F238E27FC236}">
              <a16:creationId xmlns:a16="http://schemas.microsoft.com/office/drawing/2014/main" id="{3D97172B-0CC7-4546-AA43-7AD2473D483F}"/>
            </a:ext>
          </a:extLst>
        </xdr:cNvPr>
        <xdr:cNvSpPr>
          <a:spLocks noChangeAspect="1" noChangeArrowheads="1"/>
        </xdr:cNvSpPr>
      </xdr:nvSpPr>
      <xdr:spPr bwMode="auto">
        <a:xfrm>
          <a:off x="0" y="14565168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80</xdr:row>
      <xdr:rowOff>177800</xdr:rowOff>
    </xdr:from>
    <xdr:ext cx="622588" cy="636154"/>
    <xdr:sp macro="" textlink="">
      <xdr:nvSpPr>
        <xdr:cNvPr id="53" name="AutoShape 32">
          <a:extLst>
            <a:ext uri="{FF2B5EF4-FFF2-40B4-BE49-F238E27FC236}">
              <a16:creationId xmlns:a16="http://schemas.microsoft.com/office/drawing/2014/main" id="{F3B8B1FF-0ED8-4E50-8AE4-43AEB4DD279E}"/>
            </a:ext>
          </a:extLst>
        </xdr:cNvPr>
        <xdr:cNvSpPr>
          <a:spLocks noChangeAspect="1" noChangeArrowheads="1"/>
        </xdr:cNvSpPr>
      </xdr:nvSpPr>
      <xdr:spPr bwMode="auto">
        <a:xfrm>
          <a:off x="0" y="15547686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38100</xdr:rowOff>
    </xdr:from>
    <xdr:ext cx="622588" cy="632691"/>
    <xdr:sp macro="" textlink="">
      <xdr:nvSpPr>
        <xdr:cNvPr id="54" name="AutoShape 33">
          <a:extLst>
            <a:ext uri="{FF2B5EF4-FFF2-40B4-BE49-F238E27FC236}">
              <a16:creationId xmlns:a16="http://schemas.microsoft.com/office/drawing/2014/main" id="{B98F823C-A2B7-46D1-B971-DDAB3B5E7C15}"/>
            </a:ext>
          </a:extLst>
        </xdr:cNvPr>
        <xdr:cNvSpPr>
          <a:spLocks noChangeAspect="1" noChangeArrowheads="1"/>
        </xdr:cNvSpPr>
      </xdr:nvSpPr>
      <xdr:spPr bwMode="auto">
        <a:xfrm>
          <a:off x="0" y="1690889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94</xdr:row>
      <xdr:rowOff>88900</xdr:rowOff>
    </xdr:from>
    <xdr:ext cx="622588" cy="632691"/>
    <xdr:sp macro="" textlink="">
      <xdr:nvSpPr>
        <xdr:cNvPr id="55" name="AutoShape 34">
          <a:extLst>
            <a:ext uri="{FF2B5EF4-FFF2-40B4-BE49-F238E27FC236}">
              <a16:creationId xmlns:a16="http://schemas.microsoft.com/office/drawing/2014/main" id="{41DBD705-24B1-4099-869E-B0D8F9A76A8B}"/>
            </a:ext>
          </a:extLst>
        </xdr:cNvPr>
        <xdr:cNvSpPr>
          <a:spLocks noChangeAspect="1" noChangeArrowheads="1"/>
        </xdr:cNvSpPr>
      </xdr:nvSpPr>
      <xdr:spPr bwMode="auto">
        <a:xfrm>
          <a:off x="0" y="18085377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38100</xdr:rowOff>
    </xdr:from>
    <xdr:ext cx="622588" cy="632691"/>
    <xdr:sp macro="" textlink="">
      <xdr:nvSpPr>
        <xdr:cNvPr id="56" name="AutoShape 27">
          <a:extLst>
            <a:ext uri="{FF2B5EF4-FFF2-40B4-BE49-F238E27FC236}">
              <a16:creationId xmlns:a16="http://schemas.microsoft.com/office/drawing/2014/main" id="{ED1C3CAB-31DE-41AC-BFBE-6043BB2283AE}"/>
            </a:ext>
          </a:extLst>
        </xdr:cNvPr>
        <xdr:cNvSpPr>
          <a:spLocks noChangeAspect="1" noChangeArrowheads="1"/>
        </xdr:cNvSpPr>
      </xdr:nvSpPr>
      <xdr:spPr bwMode="auto">
        <a:xfrm>
          <a:off x="0" y="11280486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114300</xdr:rowOff>
    </xdr:from>
    <xdr:ext cx="622588" cy="636154"/>
    <xdr:sp macro="" textlink="">
      <xdr:nvSpPr>
        <xdr:cNvPr id="57" name="AutoShape 28">
          <a:extLst>
            <a:ext uri="{FF2B5EF4-FFF2-40B4-BE49-F238E27FC236}">
              <a16:creationId xmlns:a16="http://schemas.microsoft.com/office/drawing/2014/main" id="{977E446E-73FB-431D-B3E0-78D858C4FA66}"/>
            </a:ext>
          </a:extLst>
        </xdr:cNvPr>
        <xdr:cNvSpPr>
          <a:spLocks noChangeAspect="1" noChangeArrowheads="1"/>
        </xdr:cNvSpPr>
      </xdr:nvSpPr>
      <xdr:spPr bwMode="auto">
        <a:xfrm>
          <a:off x="0" y="11919527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6350</xdr:rowOff>
    </xdr:from>
    <xdr:ext cx="622588" cy="632691"/>
    <xdr:sp macro="" textlink="">
      <xdr:nvSpPr>
        <xdr:cNvPr id="58" name="AutoShape 29">
          <a:extLst>
            <a:ext uri="{FF2B5EF4-FFF2-40B4-BE49-F238E27FC236}">
              <a16:creationId xmlns:a16="http://schemas.microsoft.com/office/drawing/2014/main" id="{E04D5672-3BF3-4EF6-9407-11278046C144}"/>
            </a:ext>
          </a:extLst>
        </xdr:cNvPr>
        <xdr:cNvSpPr>
          <a:spLocks noChangeAspect="1" noChangeArrowheads="1"/>
        </xdr:cNvSpPr>
      </xdr:nvSpPr>
      <xdr:spPr bwMode="auto">
        <a:xfrm>
          <a:off x="0" y="1274964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57150</xdr:rowOff>
    </xdr:from>
    <xdr:ext cx="622588" cy="632691"/>
    <xdr:sp macro="" textlink="">
      <xdr:nvSpPr>
        <xdr:cNvPr id="59" name="AutoShape 30">
          <a:extLst>
            <a:ext uri="{FF2B5EF4-FFF2-40B4-BE49-F238E27FC236}">
              <a16:creationId xmlns:a16="http://schemas.microsoft.com/office/drawing/2014/main" id="{B8BA0362-512A-42A5-9DEE-B7463ADB75A5}"/>
            </a:ext>
          </a:extLst>
        </xdr:cNvPr>
        <xdr:cNvSpPr>
          <a:spLocks noChangeAspect="1" noChangeArrowheads="1"/>
        </xdr:cNvSpPr>
      </xdr:nvSpPr>
      <xdr:spPr bwMode="auto">
        <a:xfrm>
          <a:off x="0" y="13738514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75</xdr:row>
      <xdr:rowOff>133350</xdr:rowOff>
    </xdr:from>
    <xdr:ext cx="622588" cy="636154"/>
    <xdr:sp macro="" textlink="">
      <xdr:nvSpPr>
        <xdr:cNvPr id="60" name="AutoShape 31">
          <a:extLst>
            <a:ext uri="{FF2B5EF4-FFF2-40B4-BE49-F238E27FC236}">
              <a16:creationId xmlns:a16="http://schemas.microsoft.com/office/drawing/2014/main" id="{5E979E99-0F75-4954-B9EF-BD0D83112D8A}"/>
            </a:ext>
          </a:extLst>
        </xdr:cNvPr>
        <xdr:cNvSpPr>
          <a:spLocks noChangeAspect="1" noChangeArrowheads="1"/>
        </xdr:cNvSpPr>
      </xdr:nvSpPr>
      <xdr:spPr bwMode="auto">
        <a:xfrm>
          <a:off x="0" y="14565168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80</xdr:row>
      <xdr:rowOff>177800</xdr:rowOff>
    </xdr:from>
    <xdr:ext cx="622588" cy="636154"/>
    <xdr:sp macro="" textlink="">
      <xdr:nvSpPr>
        <xdr:cNvPr id="61" name="AutoShape 32">
          <a:extLst>
            <a:ext uri="{FF2B5EF4-FFF2-40B4-BE49-F238E27FC236}">
              <a16:creationId xmlns:a16="http://schemas.microsoft.com/office/drawing/2014/main" id="{E53CA901-48A9-46F2-850F-99DDA22D5F15}"/>
            </a:ext>
          </a:extLst>
        </xdr:cNvPr>
        <xdr:cNvSpPr>
          <a:spLocks noChangeAspect="1" noChangeArrowheads="1"/>
        </xdr:cNvSpPr>
      </xdr:nvSpPr>
      <xdr:spPr bwMode="auto">
        <a:xfrm>
          <a:off x="0" y="15547686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38100</xdr:rowOff>
    </xdr:from>
    <xdr:ext cx="622588" cy="632691"/>
    <xdr:sp macro="" textlink="">
      <xdr:nvSpPr>
        <xdr:cNvPr id="62" name="AutoShape 33">
          <a:extLst>
            <a:ext uri="{FF2B5EF4-FFF2-40B4-BE49-F238E27FC236}">
              <a16:creationId xmlns:a16="http://schemas.microsoft.com/office/drawing/2014/main" id="{C8E3E606-1CC1-4794-A3DC-635C0285CCA9}"/>
            </a:ext>
          </a:extLst>
        </xdr:cNvPr>
        <xdr:cNvSpPr>
          <a:spLocks noChangeAspect="1" noChangeArrowheads="1"/>
        </xdr:cNvSpPr>
      </xdr:nvSpPr>
      <xdr:spPr bwMode="auto">
        <a:xfrm>
          <a:off x="0" y="1690889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94</xdr:row>
      <xdr:rowOff>88900</xdr:rowOff>
    </xdr:from>
    <xdr:ext cx="622588" cy="632691"/>
    <xdr:sp macro="" textlink="">
      <xdr:nvSpPr>
        <xdr:cNvPr id="63" name="AutoShape 34">
          <a:extLst>
            <a:ext uri="{FF2B5EF4-FFF2-40B4-BE49-F238E27FC236}">
              <a16:creationId xmlns:a16="http://schemas.microsoft.com/office/drawing/2014/main" id="{90007DF5-D7D3-4960-ACBB-B6D79511617B}"/>
            </a:ext>
          </a:extLst>
        </xdr:cNvPr>
        <xdr:cNvSpPr>
          <a:spLocks noChangeAspect="1" noChangeArrowheads="1"/>
        </xdr:cNvSpPr>
      </xdr:nvSpPr>
      <xdr:spPr bwMode="auto">
        <a:xfrm>
          <a:off x="0" y="18085377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1</xdr:col>
      <xdr:colOff>622300</xdr:colOff>
      <xdr:row>19</xdr:row>
      <xdr:rowOff>50800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6C95DFEB-E9A8-C40B-EA00-306A342C6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1</xdr:col>
      <xdr:colOff>622300</xdr:colOff>
      <xdr:row>21</xdr:row>
      <xdr:rowOff>50800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2F227D6C-59BD-3D35-3A21-7A0AF471A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1</xdr:col>
      <xdr:colOff>622300</xdr:colOff>
      <xdr:row>23</xdr:row>
      <xdr:rowOff>50800</xdr:rowOff>
    </xdr:to>
    <xdr:sp macro="" textlink="">
      <xdr:nvSpPr>
        <xdr:cNvPr id="6148" name="AutoShape 4">
          <a:extLst>
            <a:ext uri="{FF2B5EF4-FFF2-40B4-BE49-F238E27FC236}">
              <a16:creationId xmlns:a16="http://schemas.microsoft.com/office/drawing/2014/main" id="{E76D8FC8-37D1-7F72-DA2E-FF347A089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1</xdr:col>
      <xdr:colOff>622300</xdr:colOff>
      <xdr:row>24</xdr:row>
      <xdr:rowOff>171450</xdr:rowOff>
    </xdr:to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7F8A4783-2D5A-C13C-0ED2-37A9BFB21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1</xdr:col>
      <xdr:colOff>622300</xdr:colOff>
      <xdr:row>26</xdr:row>
      <xdr:rowOff>63500</xdr:rowOff>
    </xdr:to>
    <xdr:sp macro="" textlink="">
      <xdr:nvSpPr>
        <xdr:cNvPr id="6150" name="AutoShape 6">
          <a:extLst>
            <a:ext uri="{FF2B5EF4-FFF2-40B4-BE49-F238E27FC236}">
              <a16:creationId xmlns:a16="http://schemas.microsoft.com/office/drawing/2014/main" id="{17F52D11-B6B2-D3BA-F4C4-B817B3584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1</xdr:col>
      <xdr:colOff>622300</xdr:colOff>
      <xdr:row>28</xdr:row>
      <xdr:rowOff>50800</xdr:rowOff>
    </xdr:to>
    <xdr:sp macro="" textlink="">
      <xdr:nvSpPr>
        <xdr:cNvPr id="6151" name="AutoShape 7">
          <a:extLst>
            <a:ext uri="{FF2B5EF4-FFF2-40B4-BE49-F238E27FC236}">
              <a16:creationId xmlns:a16="http://schemas.microsoft.com/office/drawing/2014/main" id="{3E00463E-E20D-B3D9-3333-CE04CCB75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1</xdr:col>
      <xdr:colOff>622300</xdr:colOff>
      <xdr:row>32</xdr:row>
      <xdr:rowOff>50800</xdr:rowOff>
    </xdr:to>
    <xdr:sp macro="" textlink="">
      <xdr:nvSpPr>
        <xdr:cNvPr id="6153" name="AutoShape 9">
          <a:extLst>
            <a:ext uri="{FF2B5EF4-FFF2-40B4-BE49-F238E27FC236}">
              <a16:creationId xmlns:a16="http://schemas.microsoft.com/office/drawing/2014/main" id="{A6BAE7E6-AB0B-A21B-84C9-0B3F3D101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1</xdr:col>
      <xdr:colOff>622300</xdr:colOff>
      <xdr:row>33</xdr:row>
      <xdr:rowOff>184150</xdr:rowOff>
    </xdr:to>
    <xdr:sp macro="" textlink="">
      <xdr:nvSpPr>
        <xdr:cNvPr id="6154" name="AutoShape 10">
          <a:extLst>
            <a:ext uri="{FF2B5EF4-FFF2-40B4-BE49-F238E27FC236}">
              <a16:creationId xmlns:a16="http://schemas.microsoft.com/office/drawing/2014/main" id="{3D8EE533-B1E1-D91C-6718-2ABD82EDC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1</xdr:col>
      <xdr:colOff>622300</xdr:colOff>
      <xdr:row>35</xdr:row>
      <xdr:rowOff>76200</xdr:rowOff>
    </xdr:to>
    <xdr:sp macro="" textlink="">
      <xdr:nvSpPr>
        <xdr:cNvPr id="6155" name="AutoShape 11">
          <a:extLst>
            <a:ext uri="{FF2B5EF4-FFF2-40B4-BE49-F238E27FC236}">
              <a16:creationId xmlns:a16="http://schemas.microsoft.com/office/drawing/2014/main" id="{EA483865-1D8D-26B5-B78C-A386A1BED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1</xdr:col>
      <xdr:colOff>622300</xdr:colOff>
      <xdr:row>37</xdr:row>
      <xdr:rowOff>50800</xdr:rowOff>
    </xdr:to>
    <xdr:sp macro="" textlink="">
      <xdr:nvSpPr>
        <xdr:cNvPr id="6156" name="AutoShape 12">
          <a:extLst>
            <a:ext uri="{FF2B5EF4-FFF2-40B4-BE49-F238E27FC236}">
              <a16:creationId xmlns:a16="http://schemas.microsoft.com/office/drawing/2014/main" id="{D564BB6F-A7FE-C3DC-BC16-425954E79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1</xdr:col>
      <xdr:colOff>622300</xdr:colOff>
      <xdr:row>43</xdr:row>
      <xdr:rowOff>6350</xdr:rowOff>
    </xdr:to>
    <xdr:sp macro="" textlink="">
      <xdr:nvSpPr>
        <xdr:cNvPr id="6159" name="AutoShape 15">
          <a:extLst>
            <a:ext uri="{FF2B5EF4-FFF2-40B4-BE49-F238E27FC236}">
              <a16:creationId xmlns:a16="http://schemas.microsoft.com/office/drawing/2014/main" id="{1A370F57-B428-AAA3-DA23-C0402B4FA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1</xdr:col>
      <xdr:colOff>622300</xdr:colOff>
      <xdr:row>44</xdr:row>
      <xdr:rowOff>88900</xdr:rowOff>
    </xdr:to>
    <xdr:sp macro="" textlink="">
      <xdr:nvSpPr>
        <xdr:cNvPr id="6160" name="AutoShape 16">
          <a:extLst>
            <a:ext uri="{FF2B5EF4-FFF2-40B4-BE49-F238E27FC236}">
              <a16:creationId xmlns:a16="http://schemas.microsoft.com/office/drawing/2014/main" id="{48F9D18A-8FC5-C9DD-497C-DD5E7DE55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1</xdr:col>
      <xdr:colOff>622300</xdr:colOff>
      <xdr:row>46</xdr:row>
      <xdr:rowOff>50800</xdr:rowOff>
    </xdr:to>
    <xdr:sp macro="" textlink="">
      <xdr:nvSpPr>
        <xdr:cNvPr id="6161" name="AutoShape 17">
          <a:extLst>
            <a:ext uri="{FF2B5EF4-FFF2-40B4-BE49-F238E27FC236}">
              <a16:creationId xmlns:a16="http://schemas.microsoft.com/office/drawing/2014/main" id="{6788E028-6FFB-2B8A-5444-7991B4F96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1</xdr:col>
      <xdr:colOff>622300</xdr:colOff>
      <xdr:row>48</xdr:row>
      <xdr:rowOff>50800</xdr:rowOff>
    </xdr:to>
    <xdr:sp macro="" textlink="">
      <xdr:nvSpPr>
        <xdr:cNvPr id="6162" name="AutoShape 18">
          <a:extLst>
            <a:ext uri="{FF2B5EF4-FFF2-40B4-BE49-F238E27FC236}">
              <a16:creationId xmlns:a16="http://schemas.microsoft.com/office/drawing/2014/main" id="{1B105361-6342-65BD-1F02-D2E7C0ED6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1</xdr:col>
      <xdr:colOff>622300</xdr:colOff>
      <xdr:row>50</xdr:row>
      <xdr:rowOff>50800</xdr:rowOff>
    </xdr:to>
    <xdr:sp macro="" textlink="">
      <xdr:nvSpPr>
        <xdr:cNvPr id="6163" name="AutoShape 19">
          <a:extLst>
            <a:ext uri="{FF2B5EF4-FFF2-40B4-BE49-F238E27FC236}">
              <a16:creationId xmlns:a16="http://schemas.microsoft.com/office/drawing/2014/main" id="{5BCA6E2B-6FBF-AA06-0A2F-0E2D16010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1</xdr:col>
      <xdr:colOff>622300</xdr:colOff>
      <xdr:row>52</xdr:row>
      <xdr:rowOff>19050</xdr:rowOff>
    </xdr:to>
    <xdr:sp macro="" textlink="">
      <xdr:nvSpPr>
        <xdr:cNvPr id="6164" name="AutoShape 20">
          <a:extLst>
            <a:ext uri="{FF2B5EF4-FFF2-40B4-BE49-F238E27FC236}">
              <a16:creationId xmlns:a16="http://schemas.microsoft.com/office/drawing/2014/main" id="{655C41E1-A29C-80C5-0701-F5875077A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1</xdr:col>
      <xdr:colOff>622300</xdr:colOff>
      <xdr:row>53</xdr:row>
      <xdr:rowOff>101600</xdr:rowOff>
    </xdr:to>
    <xdr:sp macro="" textlink="">
      <xdr:nvSpPr>
        <xdr:cNvPr id="6165" name="AutoShape 21">
          <a:extLst>
            <a:ext uri="{FF2B5EF4-FFF2-40B4-BE49-F238E27FC236}">
              <a16:creationId xmlns:a16="http://schemas.microsoft.com/office/drawing/2014/main" id="{40D28EEF-C364-87A3-D1F5-393D62942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1</xdr:col>
      <xdr:colOff>622300</xdr:colOff>
      <xdr:row>55</xdr:row>
      <xdr:rowOff>50800</xdr:rowOff>
    </xdr:to>
    <xdr:sp macro="" textlink="">
      <xdr:nvSpPr>
        <xdr:cNvPr id="6166" name="AutoShape 22">
          <a:extLst>
            <a:ext uri="{FF2B5EF4-FFF2-40B4-BE49-F238E27FC236}">
              <a16:creationId xmlns:a16="http://schemas.microsoft.com/office/drawing/2014/main" id="{C9515DC0-4BC9-36E0-A53C-C8FD187B4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1</xdr:col>
      <xdr:colOff>622300</xdr:colOff>
      <xdr:row>57</xdr:row>
      <xdr:rowOff>50800</xdr:rowOff>
    </xdr:to>
    <xdr:sp macro="" textlink="">
      <xdr:nvSpPr>
        <xdr:cNvPr id="6167" name="AutoShape 23">
          <a:extLst>
            <a:ext uri="{FF2B5EF4-FFF2-40B4-BE49-F238E27FC236}">
              <a16:creationId xmlns:a16="http://schemas.microsoft.com/office/drawing/2014/main" id="{7D6F5C2B-B44B-D574-CD2E-EB36565E6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1</xdr:col>
      <xdr:colOff>622300</xdr:colOff>
      <xdr:row>59</xdr:row>
      <xdr:rowOff>50800</xdr:rowOff>
    </xdr:to>
    <xdr:sp macro="" textlink="">
      <xdr:nvSpPr>
        <xdr:cNvPr id="6168" name="AutoShape 24">
          <a:extLst>
            <a:ext uri="{FF2B5EF4-FFF2-40B4-BE49-F238E27FC236}">
              <a16:creationId xmlns:a16="http://schemas.microsoft.com/office/drawing/2014/main" id="{BFB11BA2-48B8-CFC2-1F3B-18D21C658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1</xdr:col>
      <xdr:colOff>622300</xdr:colOff>
      <xdr:row>61</xdr:row>
      <xdr:rowOff>31750</xdr:rowOff>
    </xdr:to>
    <xdr:sp macro="" textlink="">
      <xdr:nvSpPr>
        <xdr:cNvPr id="6169" name="AutoShape 25">
          <a:extLst>
            <a:ext uri="{FF2B5EF4-FFF2-40B4-BE49-F238E27FC236}">
              <a16:creationId xmlns:a16="http://schemas.microsoft.com/office/drawing/2014/main" id="{B2789D14-D39A-2FAF-06CF-0307773BE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1</xdr:col>
      <xdr:colOff>622300</xdr:colOff>
      <xdr:row>62</xdr:row>
      <xdr:rowOff>114300</xdr:rowOff>
    </xdr:to>
    <xdr:sp macro="" textlink="">
      <xdr:nvSpPr>
        <xdr:cNvPr id="6170" name="AutoShape 26">
          <a:extLst>
            <a:ext uri="{FF2B5EF4-FFF2-40B4-BE49-F238E27FC236}">
              <a16:creationId xmlns:a16="http://schemas.microsoft.com/office/drawing/2014/main" id="{5EF4B506-5B45-F2B9-0BE9-822462B13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1</xdr:col>
      <xdr:colOff>622300</xdr:colOff>
      <xdr:row>64</xdr:row>
      <xdr:rowOff>50800</xdr:rowOff>
    </xdr:to>
    <xdr:sp macro="" textlink="">
      <xdr:nvSpPr>
        <xdr:cNvPr id="6171" name="AutoShape 27">
          <a:extLst>
            <a:ext uri="{FF2B5EF4-FFF2-40B4-BE49-F238E27FC236}">
              <a16:creationId xmlns:a16="http://schemas.microsoft.com/office/drawing/2014/main" id="{BA04B542-8EE0-B5A5-A3C1-89E83E193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1</xdr:col>
      <xdr:colOff>622300</xdr:colOff>
      <xdr:row>66</xdr:row>
      <xdr:rowOff>50800</xdr:rowOff>
    </xdr:to>
    <xdr:sp macro="" textlink="">
      <xdr:nvSpPr>
        <xdr:cNvPr id="6172" name="AutoShape 28">
          <a:extLst>
            <a:ext uri="{FF2B5EF4-FFF2-40B4-BE49-F238E27FC236}">
              <a16:creationId xmlns:a16="http://schemas.microsoft.com/office/drawing/2014/main" id="{1315F72D-8241-6E04-7894-92C2E92FA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1</xdr:col>
      <xdr:colOff>622300</xdr:colOff>
      <xdr:row>68</xdr:row>
      <xdr:rowOff>63500</xdr:rowOff>
    </xdr:to>
    <xdr:sp macro="" textlink="">
      <xdr:nvSpPr>
        <xdr:cNvPr id="6173" name="AutoShape 29">
          <a:extLst>
            <a:ext uri="{FF2B5EF4-FFF2-40B4-BE49-F238E27FC236}">
              <a16:creationId xmlns:a16="http://schemas.microsoft.com/office/drawing/2014/main" id="{F65ED84F-6993-C67F-81ED-57DFF9935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622300</xdr:colOff>
      <xdr:row>70</xdr:row>
      <xdr:rowOff>69850</xdr:rowOff>
    </xdr:to>
    <xdr:sp macro="" textlink="">
      <xdr:nvSpPr>
        <xdr:cNvPr id="6174" name="AutoShape 30">
          <a:extLst>
            <a:ext uri="{FF2B5EF4-FFF2-40B4-BE49-F238E27FC236}">
              <a16:creationId xmlns:a16="http://schemas.microsoft.com/office/drawing/2014/main" id="{1AEE8ACB-2605-BD6A-4906-CC3E13683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76200</xdr:rowOff>
    </xdr:from>
    <xdr:to>
      <xdr:col>1</xdr:col>
      <xdr:colOff>622300</xdr:colOff>
      <xdr:row>75</xdr:row>
      <xdr:rowOff>146050</xdr:rowOff>
    </xdr:to>
    <xdr:sp macro="" textlink="">
      <xdr:nvSpPr>
        <xdr:cNvPr id="6175" name="AutoShape 31">
          <a:extLst>
            <a:ext uri="{FF2B5EF4-FFF2-40B4-BE49-F238E27FC236}">
              <a16:creationId xmlns:a16="http://schemas.microsoft.com/office/drawing/2014/main" id="{D2E4529C-3D37-6311-D1FD-BA08D6A86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152400</xdr:rowOff>
    </xdr:from>
    <xdr:to>
      <xdr:col>1</xdr:col>
      <xdr:colOff>622300</xdr:colOff>
      <xdr:row>81</xdr:row>
      <xdr:rowOff>38100</xdr:rowOff>
    </xdr:to>
    <xdr:sp macro="" textlink="">
      <xdr:nvSpPr>
        <xdr:cNvPr id="6176" name="AutoShape 32">
          <a:extLst>
            <a:ext uri="{FF2B5EF4-FFF2-40B4-BE49-F238E27FC236}">
              <a16:creationId xmlns:a16="http://schemas.microsoft.com/office/drawing/2014/main" id="{EE1151F5-7C05-E123-E09E-2BB2F8CF3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44450</xdr:rowOff>
    </xdr:from>
    <xdr:to>
      <xdr:col>1</xdr:col>
      <xdr:colOff>622300</xdr:colOff>
      <xdr:row>86</xdr:row>
      <xdr:rowOff>114300</xdr:rowOff>
    </xdr:to>
    <xdr:sp macro="" textlink="">
      <xdr:nvSpPr>
        <xdr:cNvPr id="6177" name="AutoShape 33">
          <a:extLst>
            <a:ext uri="{FF2B5EF4-FFF2-40B4-BE49-F238E27FC236}">
              <a16:creationId xmlns:a16="http://schemas.microsoft.com/office/drawing/2014/main" id="{9870BDD6-23A0-81CB-F697-22DC59B7C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120650</xdr:rowOff>
    </xdr:from>
    <xdr:to>
      <xdr:col>1</xdr:col>
      <xdr:colOff>622300</xdr:colOff>
      <xdr:row>92</xdr:row>
      <xdr:rowOff>6350</xdr:rowOff>
    </xdr:to>
    <xdr:sp macro="" textlink="">
      <xdr:nvSpPr>
        <xdr:cNvPr id="6178" name="AutoShape 34">
          <a:extLst>
            <a:ext uri="{FF2B5EF4-FFF2-40B4-BE49-F238E27FC236}">
              <a16:creationId xmlns:a16="http://schemas.microsoft.com/office/drawing/2014/main" id="{84647FB3-7D10-3AB7-E24C-4FA9E827C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12700</xdr:rowOff>
    </xdr:from>
    <xdr:to>
      <xdr:col>1</xdr:col>
      <xdr:colOff>622300</xdr:colOff>
      <xdr:row>97</xdr:row>
      <xdr:rowOff>82550</xdr:rowOff>
    </xdr:to>
    <xdr:sp macro="" textlink="">
      <xdr:nvSpPr>
        <xdr:cNvPr id="6179" name="AutoShape 35">
          <a:extLst>
            <a:ext uri="{FF2B5EF4-FFF2-40B4-BE49-F238E27FC236}">
              <a16:creationId xmlns:a16="http://schemas.microsoft.com/office/drawing/2014/main" id="{CF8632CF-7F50-C488-387F-7BDAABDCA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88900</xdr:rowOff>
    </xdr:from>
    <xdr:to>
      <xdr:col>1</xdr:col>
      <xdr:colOff>622300</xdr:colOff>
      <xdr:row>102</xdr:row>
      <xdr:rowOff>158750</xdr:rowOff>
    </xdr:to>
    <xdr:sp macro="" textlink="">
      <xdr:nvSpPr>
        <xdr:cNvPr id="6180" name="AutoShape 36">
          <a:extLst>
            <a:ext uri="{FF2B5EF4-FFF2-40B4-BE49-F238E27FC236}">
              <a16:creationId xmlns:a16="http://schemas.microsoft.com/office/drawing/2014/main" id="{8FE1246C-9896-D432-7FB4-41068E95C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165100</xdr:rowOff>
    </xdr:from>
    <xdr:to>
      <xdr:col>1</xdr:col>
      <xdr:colOff>622300</xdr:colOff>
      <xdr:row>108</xdr:row>
      <xdr:rowOff>50800</xdr:rowOff>
    </xdr:to>
    <xdr:sp macro="" textlink="">
      <xdr:nvSpPr>
        <xdr:cNvPr id="6181" name="AutoShape 37">
          <a:extLst>
            <a:ext uri="{FF2B5EF4-FFF2-40B4-BE49-F238E27FC236}">
              <a16:creationId xmlns:a16="http://schemas.microsoft.com/office/drawing/2014/main" id="{65046F2C-CF8E-37B8-222D-5ACDB4D3A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57150</xdr:rowOff>
    </xdr:from>
    <xdr:to>
      <xdr:col>1</xdr:col>
      <xdr:colOff>622300</xdr:colOff>
      <xdr:row>113</xdr:row>
      <xdr:rowOff>127000</xdr:rowOff>
    </xdr:to>
    <xdr:sp macro="" textlink="">
      <xdr:nvSpPr>
        <xdr:cNvPr id="6182" name="AutoShape 38">
          <a:extLst>
            <a:ext uri="{FF2B5EF4-FFF2-40B4-BE49-F238E27FC236}">
              <a16:creationId xmlns:a16="http://schemas.microsoft.com/office/drawing/2014/main" id="{5B0F558C-B131-0833-826C-C4C028127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133350</xdr:rowOff>
    </xdr:from>
    <xdr:to>
      <xdr:col>1</xdr:col>
      <xdr:colOff>622300</xdr:colOff>
      <xdr:row>119</xdr:row>
      <xdr:rowOff>19050</xdr:rowOff>
    </xdr:to>
    <xdr:sp macro="" textlink="">
      <xdr:nvSpPr>
        <xdr:cNvPr id="6183" name="AutoShape 39">
          <a:extLst>
            <a:ext uri="{FF2B5EF4-FFF2-40B4-BE49-F238E27FC236}">
              <a16:creationId xmlns:a16="http://schemas.microsoft.com/office/drawing/2014/main" id="{248D2760-92FF-56B4-9188-F053FAB02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25400</xdr:rowOff>
    </xdr:from>
    <xdr:to>
      <xdr:col>1</xdr:col>
      <xdr:colOff>622300</xdr:colOff>
      <xdr:row>124</xdr:row>
      <xdr:rowOff>95250</xdr:rowOff>
    </xdr:to>
    <xdr:sp macro="" textlink="">
      <xdr:nvSpPr>
        <xdr:cNvPr id="6184" name="AutoShape 40">
          <a:extLst>
            <a:ext uri="{FF2B5EF4-FFF2-40B4-BE49-F238E27FC236}">
              <a16:creationId xmlns:a16="http://schemas.microsoft.com/office/drawing/2014/main" id="{D07A370D-65F2-890C-2354-EC3DF6CD5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101600</xdr:rowOff>
    </xdr:from>
    <xdr:to>
      <xdr:col>1</xdr:col>
      <xdr:colOff>622300</xdr:colOff>
      <xdr:row>129</xdr:row>
      <xdr:rowOff>171450</xdr:rowOff>
    </xdr:to>
    <xdr:sp macro="" textlink="">
      <xdr:nvSpPr>
        <xdr:cNvPr id="6185" name="AutoShape 41">
          <a:extLst>
            <a:ext uri="{FF2B5EF4-FFF2-40B4-BE49-F238E27FC236}">
              <a16:creationId xmlns:a16="http://schemas.microsoft.com/office/drawing/2014/main" id="{509C52BD-2CC3-79BC-AD3F-F51953516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177800</xdr:rowOff>
    </xdr:from>
    <xdr:to>
      <xdr:col>1</xdr:col>
      <xdr:colOff>622300</xdr:colOff>
      <xdr:row>135</xdr:row>
      <xdr:rowOff>63500</xdr:rowOff>
    </xdr:to>
    <xdr:sp macro="" textlink="">
      <xdr:nvSpPr>
        <xdr:cNvPr id="6186" name="AutoShape 42">
          <a:extLst>
            <a:ext uri="{FF2B5EF4-FFF2-40B4-BE49-F238E27FC236}">
              <a16:creationId xmlns:a16="http://schemas.microsoft.com/office/drawing/2014/main" id="{2DEC7DE8-A281-FCE3-2D01-379AD7059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69850</xdr:rowOff>
    </xdr:from>
    <xdr:to>
      <xdr:col>1</xdr:col>
      <xdr:colOff>622300</xdr:colOff>
      <xdr:row>140</xdr:row>
      <xdr:rowOff>139700</xdr:rowOff>
    </xdr:to>
    <xdr:sp macro="" textlink="">
      <xdr:nvSpPr>
        <xdr:cNvPr id="6187" name="AutoShape 43">
          <a:extLst>
            <a:ext uri="{FF2B5EF4-FFF2-40B4-BE49-F238E27FC236}">
              <a16:creationId xmlns:a16="http://schemas.microsoft.com/office/drawing/2014/main" id="{5572FFC6-2EA1-D7F5-4195-5079EB1B6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146050</xdr:rowOff>
    </xdr:from>
    <xdr:to>
      <xdr:col>1</xdr:col>
      <xdr:colOff>622300</xdr:colOff>
      <xdr:row>146</xdr:row>
      <xdr:rowOff>31750</xdr:rowOff>
    </xdr:to>
    <xdr:sp macro="" textlink="">
      <xdr:nvSpPr>
        <xdr:cNvPr id="6188" name="AutoShape 44">
          <a:extLst>
            <a:ext uri="{FF2B5EF4-FFF2-40B4-BE49-F238E27FC236}">
              <a16:creationId xmlns:a16="http://schemas.microsoft.com/office/drawing/2014/main" id="{639C36F3-BA9F-941D-2904-F6FAC87FD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38100</xdr:rowOff>
    </xdr:from>
    <xdr:to>
      <xdr:col>1</xdr:col>
      <xdr:colOff>622300</xdr:colOff>
      <xdr:row>151</xdr:row>
      <xdr:rowOff>107950</xdr:rowOff>
    </xdr:to>
    <xdr:sp macro="" textlink="">
      <xdr:nvSpPr>
        <xdr:cNvPr id="6189" name="AutoShape 45">
          <a:extLst>
            <a:ext uri="{FF2B5EF4-FFF2-40B4-BE49-F238E27FC236}">
              <a16:creationId xmlns:a16="http://schemas.microsoft.com/office/drawing/2014/main" id="{97681B56-E9C8-F1C1-6BC6-34232AF66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114300</xdr:rowOff>
    </xdr:from>
    <xdr:to>
      <xdr:col>1</xdr:col>
      <xdr:colOff>622300</xdr:colOff>
      <xdr:row>157</xdr:row>
      <xdr:rowOff>0</xdr:rowOff>
    </xdr:to>
    <xdr:sp macro="" textlink="">
      <xdr:nvSpPr>
        <xdr:cNvPr id="6190" name="AutoShape 46">
          <a:extLst>
            <a:ext uri="{FF2B5EF4-FFF2-40B4-BE49-F238E27FC236}">
              <a16:creationId xmlns:a16="http://schemas.microsoft.com/office/drawing/2014/main" id="{D4075403-79EE-4B57-BD15-BA68796C4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6350</xdr:rowOff>
    </xdr:from>
    <xdr:to>
      <xdr:col>1</xdr:col>
      <xdr:colOff>622300</xdr:colOff>
      <xdr:row>162</xdr:row>
      <xdr:rowOff>76200</xdr:rowOff>
    </xdr:to>
    <xdr:sp macro="" textlink="">
      <xdr:nvSpPr>
        <xdr:cNvPr id="6191" name="AutoShape 47">
          <a:extLst>
            <a:ext uri="{FF2B5EF4-FFF2-40B4-BE49-F238E27FC236}">
              <a16:creationId xmlns:a16="http://schemas.microsoft.com/office/drawing/2014/main" id="{9E7F52B3-6480-236A-D96C-5ABD57906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82550</xdr:rowOff>
    </xdr:from>
    <xdr:to>
      <xdr:col>1</xdr:col>
      <xdr:colOff>622300</xdr:colOff>
      <xdr:row>167</xdr:row>
      <xdr:rowOff>152400</xdr:rowOff>
    </xdr:to>
    <xdr:sp macro="" textlink="">
      <xdr:nvSpPr>
        <xdr:cNvPr id="6192" name="AutoShape 48">
          <a:extLst>
            <a:ext uri="{FF2B5EF4-FFF2-40B4-BE49-F238E27FC236}">
              <a16:creationId xmlns:a16="http://schemas.microsoft.com/office/drawing/2014/main" id="{3964339C-13C4-4B1D-018A-9146216AE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158750</xdr:rowOff>
    </xdr:from>
    <xdr:to>
      <xdr:col>1</xdr:col>
      <xdr:colOff>622300</xdr:colOff>
      <xdr:row>173</xdr:row>
      <xdr:rowOff>44450</xdr:rowOff>
    </xdr:to>
    <xdr:sp macro="" textlink="">
      <xdr:nvSpPr>
        <xdr:cNvPr id="6193" name="AutoShape 49">
          <a:extLst>
            <a:ext uri="{FF2B5EF4-FFF2-40B4-BE49-F238E27FC236}">
              <a16:creationId xmlns:a16="http://schemas.microsoft.com/office/drawing/2014/main" id="{8068A0AE-26C9-A01B-80C6-DF12C772A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50800</xdr:rowOff>
    </xdr:from>
    <xdr:to>
      <xdr:col>1</xdr:col>
      <xdr:colOff>622300</xdr:colOff>
      <xdr:row>178</xdr:row>
      <xdr:rowOff>120650</xdr:rowOff>
    </xdr:to>
    <xdr:sp macro="" textlink="">
      <xdr:nvSpPr>
        <xdr:cNvPr id="6194" name="AutoShape 50">
          <a:extLst>
            <a:ext uri="{FF2B5EF4-FFF2-40B4-BE49-F238E27FC236}">
              <a16:creationId xmlns:a16="http://schemas.microsoft.com/office/drawing/2014/main" id="{7150A2F1-78CB-252E-70A6-EF8227271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127000</xdr:rowOff>
    </xdr:from>
    <xdr:to>
      <xdr:col>1</xdr:col>
      <xdr:colOff>622300</xdr:colOff>
      <xdr:row>184</xdr:row>
      <xdr:rowOff>12700</xdr:rowOff>
    </xdr:to>
    <xdr:sp macro="" textlink="">
      <xdr:nvSpPr>
        <xdr:cNvPr id="6195" name="AutoShape 51">
          <a:extLst>
            <a:ext uri="{FF2B5EF4-FFF2-40B4-BE49-F238E27FC236}">
              <a16:creationId xmlns:a16="http://schemas.microsoft.com/office/drawing/2014/main" id="{2030BCEE-F53B-A876-2623-9A7A47011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19050</xdr:rowOff>
    </xdr:from>
    <xdr:to>
      <xdr:col>1</xdr:col>
      <xdr:colOff>622300</xdr:colOff>
      <xdr:row>189</xdr:row>
      <xdr:rowOff>88900</xdr:rowOff>
    </xdr:to>
    <xdr:sp macro="" textlink="">
      <xdr:nvSpPr>
        <xdr:cNvPr id="6196" name="AutoShape 52">
          <a:extLst>
            <a:ext uri="{FF2B5EF4-FFF2-40B4-BE49-F238E27FC236}">
              <a16:creationId xmlns:a16="http://schemas.microsoft.com/office/drawing/2014/main" id="{0E30A86D-93B7-7D9F-31C0-A6598DDFB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1098550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0D95F-0C97-4DBA-BDFE-486AFCE3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196850</xdr:colOff>
      <xdr:row>14</xdr:row>
      <xdr:rowOff>31750</xdr:rowOff>
    </xdr:from>
    <xdr:to>
      <xdr:col>2</xdr:col>
      <xdr:colOff>241300</xdr:colOff>
      <xdr:row>17</xdr:row>
      <xdr:rowOff>101600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9E7FA6FC-9D9D-9501-38C1-F4ACB65F26BE}"/>
            </a:ext>
          </a:extLst>
        </xdr:cNvPr>
        <xdr:cNvSpPr>
          <a:spLocks noChangeAspect="1" noChangeArrowheads="1"/>
        </xdr:cNvSpPr>
      </xdr:nvSpPr>
      <xdr:spPr bwMode="auto">
        <a:xfrm>
          <a:off x="196850" y="21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44450</xdr:colOff>
      <xdr:row>21</xdr:row>
      <xdr:rowOff>69850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C52D1C60-2097-B102-6788-A8DD37CBB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44450</xdr:colOff>
      <xdr:row>23</xdr:row>
      <xdr:rowOff>69850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D7DEEB0F-E5D5-B03D-6171-C1CE66A4C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44450</xdr:colOff>
      <xdr:row>25</xdr:row>
      <xdr:rowOff>6350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66989520-F7E5-DE96-C01E-B90DC63C0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44450</xdr:colOff>
      <xdr:row>26</xdr:row>
      <xdr:rowOff>82550</xdr:rowOff>
    </xdr:to>
    <xdr:sp macro="" textlink="">
      <xdr:nvSpPr>
        <xdr:cNvPr id="7174" name="AutoShape 6">
          <a:extLst>
            <a:ext uri="{FF2B5EF4-FFF2-40B4-BE49-F238E27FC236}">
              <a16:creationId xmlns:a16="http://schemas.microsoft.com/office/drawing/2014/main" id="{F86BDAD9-5BC3-68BC-427E-B1428B062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44450</xdr:colOff>
      <xdr:row>28</xdr:row>
      <xdr:rowOff>69850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D8DEA509-AEDC-EF74-FF80-BD74024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44450</xdr:colOff>
      <xdr:row>30</xdr:row>
      <xdr:rowOff>69850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68FB5712-9FE9-1B1B-648C-B6C1777A8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44450</xdr:colOff>
      <xdr:row>32</xdr:row>
      <xdr:rowOff>69850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225E8CE2-6965-28A3-4A18-6AC3F9C26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44450</xdr:colOff>
      <xdr:row>34</xdr:row>
      <xdr:rowOff>19050</xdr:rowOff>
    </xdr:to>
    <xdr:sp macro="" textlink="">
      <xdr:nvSpPr>
        <xdr:cNvPr id="7178" name="AutoShape 10">
          <a:extLst>
            <a:ext uri="{FF2B5EF4-FFF2-40B4-BE49-F238E27FC236}">
              <a16:creationId xmlns:a16="http://schemas.microsoft.com/office/drawing/2014/main" id="{9D8E43C2-1ED0-FDF1-E3B7-AC2292BBB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44450</xdr:colOff>
      <xdr:row>35</xdr:row>
      <xdr:rowOff>95250</xdr:rowOff>
    </xdr:to>
    <xdr:sp macro="" textlink="">
      <xdr:nvSpPr>
        <xdr:cNvPr id="7179" name="AutoShape 11">
          <a:extLst>
            <a:ext uri="{FF2B5EF4-FFF2-40B4-BE49-F238E27FC236}">
              <a16:creationId xmlns:a16="http://schemas.microsoft.com/office/drawing/2014/main" id="{9EF9FB55-861E-308E-5EC8-A72160B4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44450</xdr:colOff>
      <xdr:row>36</xdr:row>
      <xdr:rowOff>69850</xdr:rowOff>
    </xdr:to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A5EB5917-AC9C-33AC-196F-156C40075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44450</xdr:colOff>
      <xdr:row>37</xdr:row>
      <xdr:rowOff>69850</xdr:rowOff>
    </xdr:to>
    <xdr:sp macro="" textlink="">
      <xdr:nvSpPr>
        <xdr:cNvPr id="7181" name="AutoShape 13">
          <a:extLst>
            <a:ext uri="{FF2B5EF4-FFF2-40B4-BE49-F238E27FC236}">
              <a16:creationId xmlns:a16="http://schemas.microsoft.com/office/drawing/2014/main" id="{160A2692-C5F2-67B0-902B-15DD986C0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254000</xdr:rowOff>
    </xdr:from>
    <xdr:to>
      <xdr:col>2</xdr:col>
      <xdr:colOff>44450</xdr:colOff>
      <xdr:row>39</xdr:row>
      <xdr:rowOff>69850</xdr:rowOff>
    </xdr:to>
    <xdr:sp macro="" textlink="">
      <xdr:nvSpPr>
        <xdr:cNvPr id="7182" name="AutoShape 14">
          <a:extLst>
            <a:ext uri="{FF2B5EF4-FFF2-40B4-BE49-F238E27FC236}">
              <a16:creationId xmlns:a16="http://schemas.microsoft.com/office/drawing/2014/main" id="{525A11E7-7E00-3091-0224-FF0F7C494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146050</xdr:rowOff>
    </xdr:from>
    <xdr:to>
      <xdr:col>2</xdr:col>
      <xdr:colOff>44450</xdr:colOff>
      <xdr:row>41</xdr:row>
      <xdr:rowOff>31750</xdr:rowOff>
    </xdr:to>
    <xdr:sp macro="" textlink="">
      <xdr:nvSpPr>
        <xdr:cNvPr id="7183" name="AutoShape 15">
          <a:extLst>
            <a:ext uri="{FF2B5EF4-FFF2-40B4-BE49-F238E27FC236}">
              <a16:creationId xmlns:a16="http://schemas.microsoft.com/office/drawing/2014/main" id="{35E95410-9FB2-7A16-36E7-92A12F9CC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38100</xdr:rowOff>
    </xdr:from>
    <xdr:to>
      <xdr:col>2</xdr:col>
      <xdr:colOff>44450</xdr:colOff>
      <xdr:row>42</xdr:row>
      <xdr:rowOff>107950</xdr:rowOff>
    </xdr:to>
    <xdr:sp macro="" textlink="">
      <xdr:nvSpPr>
        <xdr:cNvPr id="7184" name="AutoShape 16">
          <a:extLst>
            <a:ext uri="{FF2B5EF4-FFF2-40B4-BE49-F238E27FC236}">
              <a16:creationId xmlns:a16="http://schemas.microsoft.com/office/drawing/2014/main" id="{D6BD05E4-779C-1877-5629-473BA75A3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482600</xdr:rowOff>
    </xdr:from>
    <xdr:to>
      <xdr:col>2</xdr:col>
      <xdr:colOff>44450</xdr:colOff>
      <xdr:row>44</xdr:row>
      <xdr:rowOff>69850</xdr:rowOff>
    </xdr:to>
    <xdr:sp macro="" textlink="">
      <xdr:nvSpPr>
        <xdr:cNvPr id="7185" name="AutoShape 17">
          <a:extLst>
            <a:ext uri="{FF2B5EF4-FFF2-40B4-BE49-F238E27FC236}">
              <a16:creationId xmlns:a16="http://schemas.microsoft.com/office/drawing/2014/main" id="{64EAB49E-B6FE-7F15-4728-36030797F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374650</xdr:rowOff>
    </xdr:from>
    <xdr:to>
      <xdr:col>2</xdr:col>
      <xdr:colOff>44450</xdr:colOff>
      <xdr:row>46</xdr:row>
      <xdr:rowOff>69850</xdr:rowOff>
    </xdr:to>
    <xdr:sp macro="" textlink="">
      <xdr:nvSpPr>
        <xdr:cNvPr id="7186" name="AutoShape 18">
          <a:extLst>
            <a:ext uri="{FF2B5EF4-FFF2-40B4-BE49-F238E27FC236}">
              <a16:creationId xmlns:a16="http://schemas.microsoft.com/office/drawing/2014/main" id="{E90198EE-26CD-C417-5D32-575AE7D46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266700</xdr:rowOff>
    </xdr:from>
    <xdr:to>
      <xdr:col>2</xdr:col>
      <xdr:colOff>44450</xdr:colOff>
      <xdr:row>48</xdr:row>
      <xdr:rowOff>69850</xdr:rowOff>
    </xdr:to>
    <xdr:sp macro="" textlink="">
      <xdr:nvSpPr>
        <xdr:cNvPr id="7187" name="AutoShape 19">
          <a:extLst>
            <a:ext uri="{FF2B5EF4-FFF2-40B4-BE49-F238E27FC236}">
              <a16:creationId xmlns:a16="http://schemas.microsoft.com/office/drawing/2014/main" id="{09911858-B5C2-650A-A886-2E44226CC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158750</xdr:rowOff>
    </xdr:from>
    <xdr:to>
      <xdr:col>2</xdr:col>
      <xdr:colOff>44450</xdr:colOff>
      <xdr:row>50</xdr:row>
      <xdr:rowOff>44450</xdr:rowOff>
    </xdr:to>
    <xdr:sp macro="" textlink="">
      <xdr:nvSpPr>
        <xdr:cNvPr id="7188" name="AutoShape 20">
          <a:extLst>
            <a:ext uri="{FF2B5EF4-FFF2-40B4-BE49-F238E27FC236}">
              <a16:creationId xmlns:a16="http://schemas.microsoft.com/office/drawing/2014/main" id="{5C19E897-2C77-C6C8-F60A-360FE917D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50800</xdr:rowOff>
    </xdr:from>
    <xdr:to>
      <xdr:col>2</xdr:col>
      <xdr:colOff>44450</xdr:colOff>
      <xdr:row>51</xdr:row>
      <xdr:rowOff>120650</xdr:rowOff>
    </xdr:to>
    <xdr:sp macro="" textlink="">
      <xdr:nvSpPr>
        <xdr:cNvPr id="7189" name="AutoShape 21">
          <a:extLst>
            <a:ext uri="{FF2B5EF4-FFF2-40B4-BE49-F238E27FC236}">
              <a16:creationId xmlns:a16="http://schemas.microsoft.com/office/drawing/2014/main" id="{367D8F7D-EA38-6B4D-F10C-39659B8F6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495300</xdr:rowOff>
    </xdr:from>
    <xdr:to>
      <xdr:col>2</xdr:col>
      <xdr:colOff>44450</xdr:colOff>
      <xdr:row>53</xdr:row>
      <xdr:rowOff>69850</xdr:rowOff>
    </xdr:to>
    <xdr:sp macro="" textlink="">
      <xdr:nvSpPr>
        <xdr:cNvPr id="7190" name="AutoShape 22">
          <a:extLst>
            <a:ext uri="{FF2B5EF4-FFF2-40B4-BE49-F238E27FC236}">
              <a16:creationId xmlns:a16="http://schemas.microsoft.com/office/drawing/2014/main" id="{D2BF553E-8A80-B597-C30F-E43BFB0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387350</xdr:rowOff>
    </xdr:from>
    <xdr:to>
      <xdr:col>2</xdr:col>
      <xdr:colOff>44450</xdr:colOff>
      <xdr:row>55</xdr:row>
      <xdr:rowOff>69850</xdr:rowOff>
    </xdr:to>
    <xdr:sp macro="" textlink="">
      <xdr:nvSpPr>
        <xdr:cNvPr id="7191" name="AutoShape 23">
          <a:extLst>
            <a:ext uri="{FF2B5EF4-FFF2-40B4-BE49-F238E27FC236}">
              <a16:creationId xmlns:a16="http://schemas.microsoft.com/office/drawing/2014/main" id="{D6E2C13E-E351-FDB4-2237-3582392AE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44450</xdr:colOff>
      <xdr:row>56</xdr:row>
      <xdr:rowOff>69850</xdr:rowOff>
    </xdr:to>
    <xdr:sp macro="" textlink="">
      <xdr:nvSpPr>
        <xdr:cNvPr id="7192" name="AutoShape 24">
          <a:extLst>
            <a:ext uri="{FF2B5EF4-FFF2-40B4-BE49-F238E27FC236}">
              <a16:creationId xmlns:a16="http://schemas.microsoft.com/office/drawing/2014/main" id="{949ADC81-C58C-ED9C-F6A7-08E3A46B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171450</xdr:rowOff>
    </xdr:from>
    <xdr:to>
      <xdr:col>2</xdr:col>
      <xdr:colOff>44450</xdr:colOff>
      <xdr:row>58</xdr:row>
      <xdr:rowOff>57150</xdr:rowOff>
    </xdr:to>
    <xdr:sp macro="" textlink="">
      <xdr:nvSpPr>
        <xdr:cNvPr id="7193" name="AutoShape 25">
          <a:extLst>
            <a:ext uri="{FF2B5EF4-FFF2-40B4-BE49-F238E27FC236}">
              <a16:creationId xmlns:a16="http://schemas.microsoft.com/office/drawing/2014/main" id="{D7BDC994-1F3D-07A1-82E5-93C7A51A5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63500</xdr:rowOff>
    </xdr:from>
    <xdr:to>
      <xdr:col>2</xdr:col>
      <xdr:colOff>44450</xdr:colOff>
      <xdr:row>59</xdr:row>
      <xdr:rowOff>133350</xdr:rowOff>
    </xdr:to>
    <xdr:sp macro="" textlink="">
      <xdr:nvSpPr>
        <xdr:cNvPr id="7194" name="AutoShape 26">
          <a:extLst>
            <a:ext uri="{FF2B5EF4-FFF2-40B4-BE49-F238E27FC236}">
              <a16:creationId xmlns:a16="http://schemas.microsoft.com/office/drawing/2014/main" id="{504582F5-057F-D42B-3B81-AB4D38B28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508000</xdr:rowOff>
    </xdr:from>
    <xdr:to>
      <xdr:col>2</xdr:col>
      <xdr:colOff>44450</xdr:colOff>
      <xdr:row>61</xdr:row>
      <xdr:rowOff>69850</xdr:rowOff>
    </xdr:to>
    <xdr:sp macro="" textlink="">
      <xdr:nvSpPr>
        <xdr:cNvPr id="7195" name="AutoShape 27">
          <a:extLst>
            <a:ext uri="{FF2B5EF4-FFF2-40B4-BE49-F238E27FC236}">
              <a16:creationId xmlns:a16="http://schemas.microsoft.com/office/drawing/2014/main" id="{C094C75B-1429-551F-3B8D-13575DB2C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400050</xdr:rowOff>
    </xdr:from>
    <xdr:to>
      <xdr:col>2</xdr:col>
      <xdr:colOff>44450</xdr:colOff>
      <xdr:row>63</xdr:row>
      <xdr:rowOff>69850</xdr:rowOff>
    </xdr:to>
    <xdr:sp macro="" textlink="">
      <xdr:nvSpPr>
        <xdr:cNvPr id="7196" name="AutoShape 28">
          <a:extLst>
            <a:ext uri="{FF2B5EF4-FFF2-40B4-BE49-F238E27FC236}">
              <a16:creationId xmlns:a16="http://schemas.microsoft.com/office/drawing/2014/main" id="{A9C6FFE5-BB3D-6D3D-8419-1E1876B75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107950</xdr:rowOff>
    </xdr:from>
    <xdr:to>
      <xdr:col>2</xdr:col>
      <xdr:colOff>44450</xdr:colOff>
      <xdr:row>65</xdr:row>
      <xdr:rowOff>177800</xdr:rowOff>
    </xdr:to>
    <xdr:sp macro="" textlink="">
      <xdr:nvSpPr>
        <xdr:cNvPr id="7197" name="AutoShape 29">
          <a:extLst>
            <a:ext uri="{FF2B5EF4-FFF2-40B4-BE49-F238E27FC236}">
              <a16:creationId xmlns:a16="http://schemas.microsoft.com/office/drawing/2014/main" id="{48EEEF62-21D1-B8B5-D2C6-96440FB28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44450</xdr:colOff>
      <xdr:row>71</xdr:row>
      <xdr:rowOff>69850</xdr:rowOff>
    </xdr:to>
    <xdr:sp macro="" textlink="">
      <xdr:nvSpPr>
        <xdr:cNvPr id="7198" name="AutoShape 30">
          <a:extLst>
            <a:ext uri="{FF2B5EF4-FFF2-40B4-BE49-F238E27FC236}">
              <a16:creationId xmlns:a16="http://schemas.microsoft.com/office/drawing/2014/main" id="{2A3B8FAD-B958-FF0E-303C-7C4AD184B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76200</xdr:rowOff>
    </xdr:from>
    <xdr:to>
      <xdr:col>2</xdr:col>
      <xdr:colOff>44450</xdr:colOff>
      <xdr:row>76</xdr:row>
      <xdr:rowOff>146050</xdr:rowOff>
    </xdr:to>
    <xdr:sp macro="" textlink="">
      <xdr:nvSpPr>
        <xdr:cNvPr id="7199" name="AutoShape 31">
          <a:extLst>
            <a:ext uri="{FF2B5EF4-FFF2-40B4-BE49-F238E27FC236}">
              <a16:creationId xmlns:a16="http://schemas.microsoft.com/office/drawing/2014/main" id="{7D154C18-DF33-C3A2-D45A-BF4DCBB23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152400</xdr:rowOff>
    </xdr:from>
    <xdr:to>
      <xdr:col>2</xdr:col>
      <xdr:colOff>44450</xdr:colOff>
      <xdr:row>82</xdr:row>
      <xdr:rowOff>38100</xdr:rowOff>
    </xdr:to>
    <xdr:sp macro="" textlink="">
      <xdr:nvSpPr>
        <xdr:cNvPr id="7200" name="AutoShape 32">
          <a:extLst>
            <a:ext uri="{FF2B5EF4-FFF2-40B4-BE49-F238E27FC236}">
              <a16:creationId xmlns:a16="http://schemas.microsoft.com/office/drawing/2014/main" id="{3FCF0188-92CE-5983-5313-1289F9B1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44450</xdr:rowOff>
    </xdr:from>
    <xdr:to>
      <xdr:col>2</xdr:col>
      <xdr:colOff>44450</xdr:colOff>
      <xdr:row>87</xdr:row>
      <xdr:rowOff>114300</xdr:rowOff>
    </xdr:to>
    <xdr:sp macro="" textlink="">
      <xdr:nvSpPr>
        <xdr:cNvPr id="7201" name="AutoShape 33">
          <a:extLst>
            <a:ext uri="{FF2B5EF4-FFF2-40B4-BE49-F238E27FC236}">
              <a16:creationId xmlns:a16="http://schemas.microsoft.com/office/drawing/2014/main" id="{AAF60AF9-B0C2-64CF-7A27-1D14EBA54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120650</xdr:rowOff>
    </xdr:from>
    <xdr:to>
      <xdr:col>2</xdr:col>
      <xdr:colOff>44450</xdr:colOff>
      <xdr:row>93</xdr:row>
      <xdr:rowOff>6350</xdr:rowOff>
    </xdr:to>
    <xdr:sp macro="" textlink="">
      <xdr:nvSpPr>
        <xdr:cNvPr id="7202" name="AutoShape 34">
          <a:extLst>
            <a:ext uri="{FF2B5EF4-FFF2-40B4-BE49-F238E27FC236}">
              <a16:creationId xmlns:a16="http://schemas.microsoft.com/office/drawing/2014/main" id="{5937DEFE-EC8E-F024-25D3-F1C7FEC2E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12700</xdr:rowOff>
    </xdr:from>
    <xdr:to>
      <xdr:col>2</xdr:col>
      <xdr:colOff>44450</xdr:colOff>
      <xdr:row>98</xdr:row>
      <xdr:rowOff>82550</xdr:rowOff>
    </xdr:to>
    <xdr:sp macro="" textlink="">
      <xdr:nvSpPr>
        <xdr:cNvPr id="7203" name="AutoShape 35">
          <a:extLst>
            <a:ext uri="{FF2B5EF4-FFF2-40B4-BE49-F238E27FC236}">
              <a16:creationId xmlns:a16="http://schemas.microsoft.com/office/drawing/2014/main" id="{D173F379-A860-20BF-70FF-0A31CC55F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88900</xdr:rowOff>
    </xdr:from>
    <xdr:to>
      <xdr:col>2</xdr:col>
      <xdr:colOff>44450</xdr:colOff>
      <xdr:row>103</xdr:row>
      <xdr:rowOff>158750</xdr:rowOff>
    </xdr:to>
    <xdr:sp macro="" textlink="">
      <xdr:nvSpPr>
        <xdr:cNvPr id="7204" name="AutoShape 36">
          <a:extLst>
            <a:ext uri="{FF2B5EF4-FFF2-40B4-BE49-F238E27FC236}">
              <a16:creationId xmlns:a16="http://schemas.microsoft.com/office/drawing/2014/main" id="{F42A3578-5942-3DCB-E7E1-EC77EE707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165100</xdr:rowOff>
    </xdr:from>
    <xdr:to>
      <xdr:col>2</xdr:col>
      <xdr:colOff>44450</xdr:colOff>
      <xdr:row>109</xdr:row>
      <xdr:rowOff>50800</xdr:rowOff>
    </xdr:to>
    <xdr:sp macro="" textlink="">
      <xdr:nvSpPr>
        <xdr:cNvPr id="7205" name="AutoShape 37">
          <a:extLst>
            <a:ext uri="{FF2B5EF4-FFF2-40B4-BE49-F238E27FC236}">
              <a16:creationId xmlns:a16="http://schemas.microsoft.com/office/drawing/2014/main" id="{B4D34AB8-C29C-6C23-9C08-62612A480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57150</xdr:rowOff>
    </xdr:from>
    <xdr:to>
      <xdr:col>2</xdr:col>
      <xdr:colOff>44450</xdr:colOff>
      <xdr:row>114</xdr:row>
      <xdr:rowOff>127000</xdr:rowOff>
    </xdr:to>
    <xdr:sp macro="" textlink="">
      <xdr:nvSpPr>
        <xdr:cNvPr id="7206" name="AutoShape 38">
          <a:extLst>
            <a:ext uri="{FF2B5EF4-FFF2-40B4-BE49-F238E27FC236}">
              <a16:creationId xmlns:a16="http://schemas.microsoft.com/office/drawing/2014/main" id="{AA6C2DB2-CE6A-1094-C5B1-2A34E7762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133350</xdr:rowOff>
    </xdr:from>
    <xdr:to>
      <xdr:col>2</xdr:col>
      <xdr:colOff>44450</xdr:colOff>
      <xdr:row>120</xdr:row>
      <xdr:rowOff>19050</xdr:rowOff>
    </xdr:to>
    <xdr:sp macro="" textlink="">
      <xdr:nvSpPr>
        <xdr:cNvPr id="7207" name="AutoShape 39">
          <a:extLst>
            <a:ext uri="{FF2B5EF4-FFF2-40B4-BE49-F238E27FC236}">
              <a16:creationId xmlns:a16="http://schemas.microsoft.com/office/drawing/2014/main" id="{709095A1-AFC9-362E-6CBB-DEB89929C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25400</xdr:rowOff>
    </xdr:from>
    <xdr:to>
      <xdr:col>2</xdr:col>
      <xdr:colOff>44450</xdr:colOff>
      <xdr:row>125</xdr:row>
      <xdr:rowOff>95250</xdr:rowOff>
    </xdr:to>
    <xdr:sp macro="" textlink="">
      <xdr:nvSpPr>
        <xdr:cNvPr id="7208" name="AutoShape 40">
          <a:extLst>
            <a:ext uri="{FF2B5EF4-FFF2-40B4-BE49-F238E27FC236}">
              <a16:creationId xmlns:a16="http://schemas.microsoft.com/office/drawing/2014/main" id="{687E52C7-2BC1-83D2-DF04-7B530CA9A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101600</xdr:rowOff>
    </xdr:from>
    <xdr:to>
      <xdr:col>2</xdr:col>
      <xdr:colOff>44450</xdr:colOff>
      <xdr:row>130</xdr:row>
      <xdr:rowOff>171450</xdr:rowOff>
    </xdr:to>
    <xdr:sp macro="" textlink="">
      <xdr:nvSpPr>
        <xdr:cNvPr id="7209" name="AutoShape 41">
          <a:extLst>
            <a:ext uri="{FF2B5EF4-FFF2-40B4-BE49-F238E27FC236}">
              <a16:creationId xmlns:a16="http://schemas.microsoft.com/office/drawing/2014/main" id="{DE24F824-6FB6-6506-24B7-7045A3F12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177800</xdr:rowOff>
    </xdr:from>
    <xdr:to>
      <xdr:col>2</xdr:col>
      <xdr:colOff>44450</xdr:colOff>
      <xdr:row>136</xdr:row>
      <xdr:rowOff>63500</xdr:rowOff>
    </xdr:to>
    <xdr:sp macro="" textlink="">
      <xdr:nvSpPr>
        <xdr:cNvPr id="7210" name="AutoShape 42">
          <a:extLst>
            <a:ext uri="{FF2B5EF4-FFF2-40B4-BE49-F238E27FC236}">
              <a16:creationId xmlns:a16="http://schemas.microsoft.com/office/drawing/2014/main" id="{BFB0F155-2128-C589-5024-95384CBDD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69850</xdr:rowOff>
    </xdr:from>
    <xdr:to>
      <xdr:col>2</xdr:col>
      <xdr:colOff>44450</xdr:colOff>
      <xdr:row>141</xdr:row>
      <xdr:rowOff>139700</xdr:rowOff>
    </xdr:to>
    <xdr:sp macro="" textlink="">
      <xdr:nvSpPr>
        <xdr:cNvPr id="7211" name="AutoShape 43">
          <a:extLst>
            <a:ext uri="{FF2B5EF4-FFF2-40B4-BE49-F238E27FC236}">
              <a16:creationId xmlns:a16="http://schemas.microsoft.com/office/drawing/2014/main" id="{594A2A1B-7FCE-F5A7-68F1-62487457C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146050</xdr:rowOff>
    </xdr:from>
    <xdr:to>
      <xdr:col>2</xdr:col>
      <xdr:colOff>44450</xdr:colOff>
      <xdr:row>147</xdr:row>
      <xdr:rowOff>31750</xdr:rowOff>
    </xdr:to>
    <xdr:sp macro="" textlink="">
      <xdr:nvSpPr>
        <xdr:cNvPr id="7212" name="AutoShape 44">
          <a:extLst>
            <a:ext uri="{FF2B5EF4-FFF2-40B4-BE49-F238E27FC236}">
              <a16:creationId xmlns:a16="http://schemas.microsoft.com/office/drawing/2014/main" id="{559DC071-2390-3C1F-1EE8-32E313C2A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38100</xdr:rowOff>
    </xdr:from>
    <xdr:to>
      <xdr:col>2</xdr:col>
      <xdr:colOff>44450</xdr:colOff>
      <xdr:row>152</xdr:row>
      <xdr:rowOff>107950</xdr:rowOff>
    </xdr:to>
    <xdr:sp macro="" textlink="">
      <xdr:nvSpPr>
        <xdr:cNvPr id="7213" name="AutoShape 45">
          <a:extLst>
            <a:ext uri="{FF2B5EF4-FFF2-40B4-BE49-F238E27FC236}">
              <a16:creationId xmlns:a16="http://schemas.microsoft.com/office/drawing/2014/main" id="{1F30609B-A324-955A-86DD-CE5DF1895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114300</xdr:rowOff>
    </xdr:from>
    <xdr:to>
      <xdr:col>2</xdr:col>
      <xdr:colOff>44450</xdr:colOff>
      <xdr:row>158</xdr:row>
      <xdr:rowOff>0</xdr:rowOff>
    </xdr:to>
    <xdr:sp macro="" textlink="">
      <xdr:nvSpPr>
        <xdr:cNvPr id="7214" name="AutoShape 46">
          <a:extLst>
            <a:ext uri="{FF2B5EF4-FFF2-40B4-BE49-F238E27FC236}">
              <a16:creationId xmlns:a16="http://schemas.microsoft.com/office/drawing/2014/main" id="{4D3CFDA6-1D7A-FC7A-B27A-DF7ED33C5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6350</xdr:rowOff>
    </xdr:from>
    <xdr:to>
      <xdr:col>2</xdr:col>
      <xdr:colOff>44450</xdr:colOff>
      <xdr:row>163</xdr:row>
      <xdr:rowOff>76200</xdr:rowOff>
    </xdr:to>
    <xdr:sp macro="" textlink="">
      <xdr:nvSpPr>
        <xdr:cNvPr id="7215" name="AutoShape 47">
          <a:extLst>
            <a:ext uri="{FF2B5EF4-FFF2-40B4-BE49-F238E27FC236}">
              <a16:creationId xmlns:a16="http://schemas.microsoft.com/office/drawing/2014/main" id="{F3BD804C-C167-DE53-2604-1D6796C32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82550</xdr:rowOff>
    </xdr:from>
    <xdr:to>
      <xdr:col>2</xdr:col>
      <xdr:colOff>44450</xdr:colOff>
      <xdr:row>168</xdr:row>
      <xdr:rowOff>152400</xdr:rowOff>
    </xdr:to>
    <xdr:sp macro="" textlink="">
      <xdr:nvSpPr>
        <xdr:cNvPr id="7216" name="AutoShape 48">
          <a:extLst>
            <a:ext uri="{FF2B5EF4-FFF2-40B4-BE49-F238E27FC236}">
              <a16:creationId xmlns:a16="http://schemas.microsoft.com/office/drawing/2014/main" id="{D1023328-97AB-5E2B-757C-7F68ED3AA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158750</xdr:rowOff>
    </xdr:from>
    <xdr:to>
      <xdr:col>2</xdr:col>
      <xdr:colOff>44450</xdr:colOff>
      <xdr:row>174</xdr:row>
      <xdr:rowOff>44450</xdr:rowOff>
    </xdr:to>
    <xdr:sp macro="" textlink="">
      <xdr:nvSpPr>
        <xdr:cNvPr id="7217" name="AutoShape 49">
          <a:extLst>
            <a:ext uri="{FF2B5EF4-FFF2-40B4-BE49-F238E27FC236}">
              <a16:creationId xmlns:a16="http://schemas.microsoft.com/office/drawing/2014/main" id="{3C146E58-C6D1-18FA-3BF0-190A9DB7C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50800</xdr:rowOff>
    </xdr:from>
    <xdr:to>
      <xdr:col>2</xdr:col>
      <xdr:colOff>44450</xdr:colOff>
      <xdr:row>179</xdr:row>
      <xdr:rowOff>120650</xdr:rowOff>
    </xdr:to>
    <xdr:sp macro="" textlink="">
      <xdr:nvSpPr>
        <xdr:cNvPr id="7218" name="AutoShape 50">
          <a:extLst>
            <a:ext uri="{FF2B5EF4-FFF2-40B4-BE49-F238E27FC236}">
              <a16:creationId xmlns:a16="http://schemas.microsoft.com/office/drawing/2014/main" id="{F8170038-B176-0703-CDD7-A2CE22F1F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6</xdr:col>
      <xdr:colOff>19050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394E0-A50F-46F7-9341-4CCCF7B57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50800</xdr:colOff>
      <xdr:row>18</xdr:row>
      <xdr:rowOff>190500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C9DA9DF1-9858-8774-2910-04256D09A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5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50800</xdr:colOff>
      <xdr:row>20</xdr:row>
      <xdr:rowOff>190500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96F7AB20-2011-FB06-71BB-0817EC891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50800</xdr:colOff>
      <xdr:row>22</xdr:row>
      <xdr:rowOff>190500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F3DF5A02-1B99-8D40-2345-C828B79FE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9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50800</xdr:colOff>
      <xdr:row>24</xdr:row>
      <xdr:rowOff>95250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5ED67CEC-1F7D-3A86-3985-9140B9F61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56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50800</xdr:colOff>
      <xdr:row>25</xdr:row>
      <xdr:rowOff>203200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362BE47E-3412-39A2-5921-F021F4BF4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50800</xdr:colOff>
      <xdr:row>27</xdr:row>
      <xdr:rowOff>190500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06536A6D-FA79-6DF2-F3FA-46122C59D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4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50800</xdr:colOff>
      <xdr:row>29</xdr:row>
      <xdr:rowOff>190500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DFE68D9A-E97F-12DE-0E4B-921591D4B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4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50800</xdr:colOff>
      <xdr:row>31</xdr:row>
      <xdr:rowOff>190500</xdr:rowOff>
    </xdr:to>
    <xdr:sp macro="" textlink="">
      <xdr:nvSpPr>
        <xdr:cNvPr id="8201" name="AutoShape 9">
          <a:extLst>
            <a:ext uri="{FF2B5EF4-FFF2-40B4-BE49-F238E27FC236}">
              <a16:creationId xmlns:a16="http://schemas.microsoft.com/office/drawing/2014/main" id="{A6473080-C711-34F5-209B-64C5DCC98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43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50800</xdr:colOff>
      <xdr:row>33</xdr:row>
      <xdr:rowOff>107950</xdr:rowOff>
    </xdr:to>
    <xdr:sp macro="" textlink="">
      <xdr:nvSpPr>
        <xdr:cNvPr id="8202" name="AutoShape 10">
          <a:extLst>
            <a:ext uri="{FF2B5EF4-FFF2-40B4-BE49-F238E27FC236}">
              <a16:creationId xmlns:a16="http://schemas.microsoft.com/office/drawing/2014/main" id="{5328B79A-07BB-89B8-CF1C-9343ECA2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40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50800</xdr:colOff>
      <xdr:row>35</xdr:row>
      <xdr:rowOff>0</xdr:rowOff>
    </xdr:to>
    <xdr:sp macro="" textlink="">
      <xdr:nvSpPr>
        <xdr:cNvPr id="8203" name="AutoShape 11">
          <a:extLst>
            <a:ext uri="{FF2B5EF4-FFF2-40B4-BE49-F238E27FC236}">
              <a16:creationId xmlns:a16="http://schemas.microsoft.com/office/drawing/2014/main" id="{396A17C1-E4CE-968D-1E6A-5B8EFDDE8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50800</xdr:colOff>
      <xdr:row>36</xdr:row>
      <xdr:rowOff>190500</xdr:rowOff>
    </xdr:to>
    <xdr:sp macro="" textlink="">
      <xdr:nvSpPr>
        <xdr:cNvPr id="8204" name="AutoShape 12">
          <a:extLst>
            <a:ext uri="{FF2B5EF4-FFF2-40B4-BE49-F238E27FC236}">
              <a16:creationId xmlns:a16="http://schemas.microsoft.com/office/drawing/2014/main" id="{3E0174E7-4AAE-6121-A96F-C11BB7A23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34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50800</xdr:colOff>
      <xdr:row>38</xdr:row>
      <xdr:rowOff>190500</xdr:rowOff>
    </xdr:to>
    <xdr:sp macro="" textlink="">
      <xdr:nvSpPr>
        <xdr:cNvPr id="8205" name="AutoShape 13">
          <a:extLst>
            <a:ext uri="{FF2B5EF4-FFF2-40B4-BE49-F238E27FC236}">
              <a16:creationId xmlns:a16="http://schemas.microsoft.com/office/drawing/2014/main" id="{62B372A5-B2FB-53BD-EBBB-E1D5C210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931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50800</xdr:colOff>
      <xdr:row>40</xdr:row>
      <xdr:rowOff>190500</xdr:rowOff>
    </xdr:to>
    <xdr:sp macro="" textlink="">
      <xdr:nvSpPr>
        <xdr:cNvPr id="8206" name="AutoShape 14">
          <a:extLst>
            <a:ext uri="{FF2B5EF4-FFF2-40B4-BE49-F238E27FC236}">
              <a16:creationId xmlns:a16="http://schemas.microsoft.com/office/drawing/2014/main" id="{6FD67825-C58D-4C4B-0E3E-45D2F55AC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50800</xdr:colOff>
      <xdr:row>42</xdr:row>
      <xdr:rowOff>120650</xdr:rowOff>
    </xdr:to>
    <xdr:sp macro="" textlink="">
      <xdr:nvSpPr>
        <xdr:cNvPr id="8207" name="AutoShape 15">
          <a:extLst>
            <a:ext uri="{FF2B5EF4-FFF2-40B4-BE49-F238E27FC236}">
              <a16:creationId xmlns:a16="http://schemas.microsoft.com/office/drawing/2014/main" id="{A331C91A-E042-4EAD-E44D-DE375E9E9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50800</xdr:colOff>
      <xdr:row>44</xdr:row>
      <xdr:rowOff>12700</xdr:rowOff>
    </xdr:to>
    <xdr:sp macro="" textlink="">
      <xdr:nvSpPr>
        <xdr:cNvPr id="8208" name="AutoShape 16">
          <a:extLst>
            <a:ext uri="{FF2B5EF4-FFF2-40B4-BE49-F238E27FC236}">
              <a16:creationId xmlns:a16="http://schemas.microsoft.com/office/drawing/2014/main" id="{918DE8CA-E371-4668-3BF2-4369AFB23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9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50800</xdr:colOff>
      <xdr:row>45</xdr:row>
      <xdr:rowOff>190500</xdr:rowOff>
    </xdr:to>
    <xdr:sp macro="" textlink="">
      <xdr:nvSpPr>
        <xdr:cNvPr id="8209" name="AutoShape 17">
          <a:extLst>
            <a:ext uri="{FF2B5EF4-FFF2-40B4-BE49-F238E27FC236}">
              <a16:creationId xmlns:a16="http://schemas.microsoft.com/office/drawing/2014/main" id="{A3D02B8B-9E22-21DB-F586-6C19E6923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50800</xdr:colOff>
      <xdr:row>47</xdr:row>
      <xdr:rowOff>190500</xdr:rowOff>
    </xdr:to>
    <xdr:sp macro="" textlink="">
      <xdr:nvSpPr>
        <xdr:cNvPr id="8210" name="AutoShape 18">
          <a:extLst>
            <a:ext uri="{FF2B5EF4-FFF2-40B4-BE49-F238E27FC236}">
              <a16:creationId xmlns:a16="http://schemas.microsoft.com/office/drawing/2014/main" id="{A56E505E-0CD7-989C-7728-E40B5EA3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50800</xdr:colOff>
      <xdr:row>49</xdr:row>
      <xdr:rowOff>190500</xdr:rowOff>
    </xdr:to>
    <xdr:sp macro="" textlink="">
      <xdr:nvSpPr>
        <xdr:cNvPr id="8211" name="AutoShape 19">
          <a:extLst>
            <a:ext uri="{FF2B5EF4-FFF2-40B4-BE49-F238E27FC236}">
              <a16:creationId xmlns:a16="http://schemas.microsoft.com/office/drawing/2014/main" id="{BA53EDDE-0CEA-2287-9DDF-EA90572A4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50800</xdr:colOff>
      <xdr:row>51</xdr:row>
      <xdr:rowOff>133350</xdr:rowOff>
    </xdr:to>
    <xdr:sp macro="" textlink="">
      <xdr:nvSpPr>
        <xdr:cNvPr id="8212" name="AutoShape 20">
          <a:extLst>
            <a:ext uri="{FF2B5EF4-FFF2-40B4-BE49-F238E27FC236}">
              <a16:creationId xmlns:a16="http://schemas.microsoft.com/office/drawing/2014/main" id="{5B56E1F7-B415-5FA2-18F5-EB41A16BD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50800</xdr:colOff>
      <xdr:row>53</xdr:row>
      <xdr:rowOff>25400</xdr:rowOff>
    </xdr:to>
    <xdr:sp macro="" textlink="">
      <xdr:nvSpPr>
        <xdr:cNvPr id="8213" name="AutoShape 21">
          <a:extLst>
            <a:ext uri="{FF2B5EF4-FFF2-40B4-BE49-F238E27FC236}">
              <a16:creationId xmlns:a16="http://schemas.microsoft.com/office/drawing/2014/main" id="{4CFC8998-033B-277F-3156-97C63E302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9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50800</xdr:colOff>
      <xdr:row>54</xdr:row>
      <xdr:rowOff>190500</xdr:rowOff>
    </xdr:to>
    <xdr:sp macro="" textlink="">
      <xdr:nvSpPr>
        <xdr:cNvPr id="8214" name="AutoShape 22">
          <a:extLst>
            <a:ext uri="{FF2B5EF4-FFF2-40B4-BE49-F238E27FC236}">
              <a16:creationId xmlns:a16="http://schemas.microsoft.com/office/drawing/2014/main" id="{20417C3E-6695-1E77-95D3-AB362E31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50800</xdr:colOff>
      <xdr:row>57</xdr:row>
      <xdr:rowOff>6350</xdr:rowOff>
    </xdr:to>
    <xdr:sp macro="" textlink="">
      <xdr:nvSpPr>
        <xdr:cNvPr id="8215" name="AutoShape 23">
          <a:extLst>
            <a:ext uri="{FF2B5EF4-FFF2-40B4-BE49-F238E27FC236}">
              <a16:creationId xmlns:a16="http://schemas.microsoft.com/office/drawing/2014/main" id="{0BBBAFE7-FE95-349F-FDD8-F3EC631C5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50800</xdr:colOff>
      <xdr:row>59</xdr:row>
      <xdr:rowOff>69850</xdr:rowOff>
    </xdr:to>
    <xdr:sp macro="" textlink="">
      <xdr:nvSpPr>
        <xdr:cNvPr id="8216" name="AutoShape 24">
          <a:extLst>
            <a:ext uri="{FF2B5EF4-FFF2-40B4-BE49-F238E27FC236}">
              <a16:creationId xmlns:a16="http://schemas.microsoft.com/office/drawing/2014/main" id="{B5D4C289-30E9-8FA4-3051-9569AFD7B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171450</xdr:rowOff>
    </xdr:from>
    <xdr:to>
      <xdr:col>2</xdr:col>
      <xdr:colOff>50800</xdr:colOff>
      <xdr:row>63</xdr:row>
      <xdr:rowOff>57150</xdr:rowOff>
    </xdr:to>
    <xdr:sp macro="" textlink="">
      <xdr:nvSpPr>
        <xdr:cNvPr id="8217" name="AutoShape 25">
          <a:extLst>
            <a:ext uri="{FF2B5EF4-FFF2-40B4-BE49-F238E27FC236}">
              <a16:creationId xmlns:a16="http://schemas.microsoft.com/office/drawing/2014/main" id="{5A07B0CD-7357-9ACD-DC8F-9CDA85A7B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63500</xdr:rowOff>
    </xdr:from>
    <xdr:to>
      <xdr:col>2</xdr:col>
      <xdr:colOff>50800</xdr:colOff>
      <xdr:row>68</xdr:row>
      <xdr:rowOff>133350</xdr:rowOff>
    </xdr:to>
    <xdr:sp macro="" textlink="">
      <xdr:nvSpPr>
        <xdr:cNvPr id="8218" name="AutoShape 26">
          <a:extLst>
            <a:ext uri="{FF2B5EF4-FFF2-40B4-BE49-F238E27FC236}">
              <a16:creationId xmlns:a16="http://schemas.microsoft.com/office/drawing/2014/main" id="{1C4DFF9A-0A2C-1210-83ED-D3CC23D7E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139700</xdr:rowOff>
    </xdr:from>
    <xdr:to>
      <xdr:col>2</xdr:col>
      <xdr:colOff>50800</xdr:colOff>
      <xdr:row>74</xdr:row>
      <xdr:rowOff>25400</xdr:rowOff>
    </xdr:to>
    <xdr:sp macro="" textlink="">
      <xdr:nvSpPr>
        <xdr:cNvPr id="8219" name="AutoShape 27">
          <a:extLst>
            <a:ext uri="{FF2B5EF4-FFF2-40B4-BE49-F238E27FC236}">
              <a16:creationId xmlns:a16="http://schemas.microsoft.com/office/drawing/2014/main" id="{5F23DC09-8928-2C8F-F3BA-196D499AB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31750</xdr:rowOff>
    </xdr:from>
    <xdr:to>
      <xdr:col>2</xdr:col>
      <xdr:colOff>50800</xdr:colOff>
      <xdr:row>79</xdr:row>
      <xdr:rowOff>101600</xdr:rowOff>
    </xdr:to>
    <xdr:sp macro="" textlink="">
      <xdr:nvSpPr>
        <xdr:cNvPr id="8220" name="AutoShape 28">
          <a:extLst>
            <a:ext uri="{FF2B5EF4-FFF2-40B4-BE49-F238E27FC236}">
              <a16:creationId xmlns:a16="http://schemas.microsoft.com/office/drawing/2014/main" id="{B1D5C48B-1300-481F-04F6-563752138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107950</xdr:rowOff>
    </xdr:from>
    <xdr:to>
      <xdr:col>2</xdr:col>
      <xdr:colOff>50800</xdr:colOff>
      <xdr:row>84</xdr:row>
      <xdr:rowOff>177800</xdr:rowOff>
    </xdr:to>
    <xdr:sp macro="" textlink="">
      <xdr:nvSpPr>
        <xdr:cNvPr id="8221" name="AutoShape 29">
          <a:extLst>
            <a:ext uri="{FF2B5EF4-FFF2-40B4-BE49-F238E27FC236}">
              <a16:creationId xmlns:a16="http://schemas.microsoft.com/office/drawing/2014/main" id="{E1EA9626-B019-97AC-29AE-DF62B52A2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50800</xdr:colOff>
      <xdr:row>90</xdr:row>
      <xdr:rowOff>69850</xdr:rowOff>
    </xdr:to>
    <xdr:sp macro="" textlink="">
      <xdr:nvSpPr>
        <xdr:cNvPr id="8222" name="AutoShape 30">
          <a:extLst>
            <a:ext uri="{FF2B5EF4-FFF2-40B4-BE49-F238E27FC236}">
              <a16:creationId xmlns:a16="http://schemas.microsoft.com/office/drawing/2014/main" id="{6744B708-2A8B-4447-740D-6E454577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76200</xdr:rowOff>
    </xdr:from>
    <xdr:to>
      <xdr:col>2</xdr:col>
      <xdr:colOff>50800</xdr:colOff>
      <xdr:row>95</xdr:row>
      <xdr:rowOff>146050</xdr:rowOff>
    </xdr:to>
    <xdr:sp macro="" textlink="">
      <xdr:nvSpPr>
        <xdr:cNvPr id="8223" name="AutoShape 31">
          <a:extLst>
            <a:ext uri="{FF2B5EF4-FFF2-40B4-BE49-F238E27FC236}">
              <a16:creationId xmlns:a16="http://schemas.microsoft.com/office/drawing/2014/main" id="{2DF4BBDB-1C15-37D2-D815-32E6E26E2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8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152400</xdr:rowOff>
    </xdr:from>
    <xdr:to>
      <xdr:col>2</xdr:col>
      <xdr:colOff>50800</xdr:colOff>
      <xdr:row>101</xdr:row>
      <xdr:rowOff>38100</xdr:rowOff>
    </xdr:to>
    <xdr:sp macro="" textlink="">
      <xdr:nvSpPr>
        <xdr:cNvPr id="8224" name="AutoShape 32">
          <a:extLst>
            <a:ext uri="{FF2B5EF4-FFF2-40B4-BE49-F238E27FC236}">
              <a16:creationId xmlns:a16="http://schemas.microsoft.com/office/drawing/2014/main" id="{676F2C7B-6D6C-0CBB-31E0-09387C03F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44450</xdr:rowOff>
    </xdr:from>
    <xdr:to>
      <xdr:col>2</xdr:col>
      <xdr:colOff>50800</xdr:colOff>
      <xdr:row>106</xdr:row>
      <xdr:rowOff>114300</xdr:rowOff>
    </xdr:to>
    <xdr:sp macro="" textlink="">
      <xdr:nvSpPr>
        <xdr:cNvPr id="8225" name="AutoShape 33">
          <a:extLst>
            <a:ext uri="{FF2B5EF4-FFF2-40B4-BE49-F238E27FC236}">
              <a16:creationId xmlns:a16="http://schemas.microsoft.com/office/drawing/2014/main" id="{5E3EEDA0-302A-7245-0482-9DAFF68C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120650</xdr:rowOff>
    </xdr:from>
    <xdr:to>
      <xdr:col>2</xdr:col>
      <xdr:colOff>50800</xdr:colOff>
      <xdr:row>112</xdr:row>
      <xdr:rowOff>6350</xdr:rowOff>
    </xdr:to>
    <xdr:sp macro="" textlink="">
      <xdr:nvSpPr>
        <xdr:cNvPr id="8226" name="AutoShape 34">
          <a:extLst>
            <a:ext uri="{FF2B5EF4-FFF2-40B4-BE49-F238E27FC236}">
              <a16:creationId xmlns:a16="http://schemas.microsoft.com/office/drawing/2014/main" id="{283EB761-D027-8130-A886-879C7D0CD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12700</xdr:rowOff>
    </xdr:from>
    <xdr:to>
      <xdr:col>2</xdr:col>
      <xdr:colOff>50800</xdr:colOff>
      <xdr:row>117</xdr:row>
      <xdr:rowOff>82550</xdr:rowOff>
    </xdr:to>
    <xdr:sp macro="" textlink="">
      <xdr:nvSpPr>
        <xdr:cNvPr id="8227" name="AutoShape 35">
          <a:extLst>
            <a:ext uri="{FF2B5EF4-FFF2-40B4-BE49-F238E27FC236}">
              <a16:creationId xmlns:a16="http://schemas.microsoft.com/office/drawing/2014/main" id="{1D2305A4-A0D7-329A-313E-B3F949C2B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8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88900</xdr:rowOff>
    </xdr:from>
    <xdr:to>
      <xdr:col>2</xdr:col>
      <xdr:colOff>50800</xdr:colOff>
      <xdr:row>122</xdr:row>
      <xdr:rowOff>158750</xdr:rowOff>
    </xdr:to>
    <xdr:sp macro="" textlink="">
      <xdr:nvSpPr>
        <xdr:cNvPr id="8228" name="AutoShape 36">
          <a:extLst>
            <a:ext uri="{FF2B5EF4-FFF2-40B4-BE49-F238E27FC236}">
              <a16:creationId xmlns:a16="http://schemas.microsoft.com/office/drawing/2014/main" id="{B96FC9FB-5C9A-97AA-5B65-45977EBE6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165100</xdr:rowOff>
    </xdr:from>
    <xdr:to>
      <xdr:col>2</xdr:col>
      <xdr:colOff>50800</xdr:colOff>
      <xdr:row>128</xdr:row>
      <xdr:rowOff>50800</xdr:rowOff>
    </xdr:to>
    <xdr:sp macro="" textlink="">
      <xdr:nvSpPr>
        <xdr:cNvPr id="8229" name="AutoShape 37">
          <a:extLst>
            <a:ext uri="{FF2B5EF4-FFF2-40B4-BE49-F238E27FC236}">
              <a16:creationId xmlns:a16="http://schemas.microsoft.com/office/drawing/2014/main" id="{98C210AB-931C-12EF-9814-490A3D94E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57150</xdr:rowOff>
    </xdr:from>
    <xdr:to>
      <xdr:col>2</xdr:col>
      <xdr:colOff>50800</xdr:colOff>
      <xdr:row>133</xdr:row>
      <xdr:rowOff>127000</xdr:rowOff>
    </xdr:to>
    <xdr:sp macro="" textlink="">
      <xdr:nvSpPr>
        <xdr:cNvPr id="8230" name="AutoShape 38">
          <a:extLst>
            <a:ext uri="{FF2B5EF4-FFF2-40B4-BE49-F238E27FC236}">
              <a16:creationId xmlns:a16="http://schemas.microsoft.com/office/drawing/2014/main" id="{DDE27581-AFA4-041B-A561-38801F49E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133350</xdr:rowOff>
    </xdr:from>
    <xdr:to>
      <xdr:col>2</xdr:col>
      <xdr:colOff>50800</xdr:colOff>
      <xdr:row>139</xdr:row>
      <xdr:rowOff>19050</xdr:rowOff>
    </xdr:to>
    <xdr:sp macro="" textlink="">
      <xdr:nvSpPr>
        <xdr:cNvPr id="8231" name="AutoShape 39">
          <a:extLst>
            <a:ext uri="{FF2B5EF4-FFF2-40B4-BE49-F238E27FC236}">
              <a16:creationId xmlns:a16="http://schemas.microsoft.com/office/drawing/2014/main" id="{7FB2DB3A-BD97-E5A9-7E7B-8EC009E4D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8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25400</xdr:rowOff>
    </xdr:from>
    <xdr:to>
      <xdr:col>2</xdr:col>
      <xdr:colOff>50800</xdr:colOff>
      <xdr:row>144</xdr:row>
      <xdr:rowOff>95250</xdr:rowOff>
    </xdr:to>
    <xdr:sp macro="" textlink="">
      <xdr:nvSpPr>
        <xdr:cNvPr id="8232" name="AutoShape 40">
          <a:extLst>
            <a:ext uri="{FF2B5EF4-FFF2-40B4-BE49-F238E27FC236}">
              <a16:creationId xmlns:a16="http://schemas.microsoft.com/office/drawing/2014/main" id="{77E90240-D540-86D6-A33B-F222F4797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101600</xdr:rowOff>
    </xdr:from>
    <xdr:to>
      <xdr:col>2</xdr:col>
      <xdr:colOff>50800</xdr:colOff>
      <xdr:row>149</xdr:row>
      <xdr:rowOff>171450</xdr:rowOff>
    </xdr:to>
    <xdr:sp macro="" textlink="">
      <xdr:nvSpPr>
        <xdr:cNvPr id="8233" name="AutoShape 41">
          <a:extLst>
            <a:ext uri="{FF2B5EF4-FFF2-40B4-BE49-F238E27FC236}">
              <a16:creationId xmlns:a16="http://schemas.microsoft.com/office/drawing/2014/main" id="{3B606226-8429-241D-48D5-BD7C4A904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177800</xdr:rowOff>
    </xdr:from>
    <xdr:to>
      <xdr:col>2</xdr:col>
      <xdr:colOff>50800</xdr:colOff>
      <xdr:row>155</xdr:row>
      <xdr:rowOff>63500</xdr:rowOff>
    </xdr:to>
    <xdr:sp macro="" textlink="">
      <xdr:nvSpPr>
        <xdr:cNvPr id="8234" name="AutoShape 42">
          <a:extLst>
            <a:ext uri="{FF2B5EF4-FFF2-40B4-BE49-F238E27FC236}">
              <a16:creationId xmlns:a16="http://schemas.microsoft.com/office/drawing/2014/main" id="{1E64EDAF-592D-4DAC-CD3D-7B6B90F72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8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958850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54B8E-96DD-40A1-8178-DD04CCA6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12700</xdr:colOff>
      <xdr:row>18</xdr:row>
      <xdr:rowOff>190500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7894EE6A-6F7F-CD81-248A-07179D79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12700</xdr:colOff>
      <xdr:row>20</xdr:row>
      <xdr:rowOff>190500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10277E83-536B-F8D4-F370-54FF8B294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12700</xdr:colOff>
      <xdr:row>22</xdr:row>
      <xdr:rowOff>190500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9443A74E-76D8-ACC9-8A85-F599F4DE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12700</xdr:colOff>
      <xdr:row>24</xdr:row>
      <xdr:rowOff>95250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6A2187E8-BA64-3761-BEBB-A28273C49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12700</xdr:colOff>
      <xdr:row>25</xdr:row>
      <xdr:rowOff>203200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124E408B-EF6D-8E04-BA4A-104CD36CE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12700</xdr:colOff>
      <xdr:row>27</xdr:row>
      <xdr:rowOff>190500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1E21DB3F-3493-F3F0-310C-8FEC6A502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12700</xdr:colOff>
      <xdr:row>29</xdr:row>
      <xdr:rowOff>190500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2680FD86-9C51-E3A5-FBB2-F5A9F3B51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12700</xdr:colOff>
      <xdr:row>31</xdr:row>
      <xdr:rowOff>190500</xdr:rowOff>
    </xdr:to>
    <xdr:sp macro="" textlink="">
      <xdr:nvSpPr>
        <xdr:cNvPr id="9225" name="AutoShape 9">
          <a:extLst>
            <a:ext uri="{FF2B5EF4-FFF2-40B4-BE49-F238E27FC236}">
              <a16:creationId xmlns:a16="http://schemas.microsoft.com/office/drawing/2014/main" id="{74E925D8-98AD-C10C-92FD-9209E63B9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12700</xdr:colOff>
      <xdr:row>33</xdr:row>
      <xdr:rowOff>107950</xdr:rowOff>
    </xdr:to>
    <xdr:sp macro="" textlink="">
      <xdr:nvSpPr>
        <xdr:cNvPr id="9226" name="AutoShape 10">
          <a:extLst>
            <a:ext uri="{FF2B5EF4-FFF2-40B4-BE49-F238E27FC236}">
              <a16:creationId xmlns:a16="http://schemas.microsoft.com/office/drawing/2014/main" id="{FA327298-907C-600B-1748-14B96E4D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12700</xdr:colOff>
      <xdr:row>35</xdr:row>
      <xdr:rowOff>0</xdr:rowOff>
    </xdr:to>
    <xdr:sp macro="" textlink="">
      <xdr:nvSpPr>
        <xdr:cNvPr id="9227" name="AutoShape 11">
          <a:extLst>
            <a:ext uri="{FF2B5EF4-FFF2-40B4-BE49-F238E27FC236}">
              <a16:creationId xmlns:a16="http://schemas.microsoft.com/office/drawing/2014/main" id="{88D6DEB8-5181-6E67-1ECA-832169BD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12700</xdr:colOff>
      <xdr:row>36</xdr:row>
      <xdr:rowOff>190500</xdr:rowOff>
    </xdr:to>
    <xdr:sp macro="" textlink="">
      <xdr:nvSpPr>
        <xdr:cNvPr id="9228" name="AutoShape 12">
          <a:extLst>
            <a:ext uri="{FF2B5EF4-FFF2-40B4-BE49-F238E27FC236}">
              <a16:creationId xmlns:a16="http://schemas.microsoft.com/office/drawing/2014/main" id="{E4873ED8-E120-3E4C-4C51-F71D3817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12700</xdr:colOff>
      <xdr:row>38</xdr:row>
      <xdr:rowOff>190500</xdr:rowOff>
    </xdr:to>
    <xdr:sp macro="" textlink="">
      <xdr:nvSpPr>
        <xdr:cNvPr id="9229" name="AutoShape 13">
          <a:extLst>
            <a:ext uri="{FF2B5EF4-FFF2-40B4-BE49-F238E27FC236}">
              <a16:creationId xmlns:a16="http://schemas.microsoft.com/office/drawing/2014/main" id="{9F9C8D15-A397-8759-7AC7-C4000A8C5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12700</xdr:colOff>
      <xdr:row>40</xdr:row>
      <xdr:rowOff>190500</xdr:rowOff>
    </xdr:to>
    <xdr:sp macro="" textlink="">
      <xdr:nvSpPr>
        <xdr:cNvPr id="9230" name="AutoShape 14">
          <a:extLst>
            <a:ext uri="{FF2B5EF4-FFF2-40B4-BE49-F238E27FC236}">
              <a16:creationId xmlns:a16="http://schemas.microsoft.com/office/drawing/2014/main" id="{43E4022A-60BB-7D5F-BDC8-FA1112AE7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12700</xdr:colOff>
      <xdr:row>42</xdr:row>
      <xdr:rowOff>120650</xdr:rowOff>
    </xdr:to>
    <xdr:sp macro="" textlink="">
      <xdr:nvSpPr>
        <xdr:cNvPr id="9231" name="AutoShape 15">
          <a:extLst>
            <a:ext uri="{FF2B5EF4-FFF2-40B4-BE49-F238E27FC236}">
              <a16:creationId xmlns:a16="http://schemas.microsoft.com/office/drawing/2014/main" id="{D4B102CD-5DB5-44D2-F38F-C4E0D9ED3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12700</xdr:colOff>
      <xdr:row>44</xdr:row>
      <xdr:rowOff>12700</xdr:rowOff>
    </xdr:to>
    <xdr:sp macro="" textlink="">
      <xdr:nvSpPr>
        <xdr:cNvPr id="9232" name="AutoShape 16">
          <a:extLst>
            <a:ext uri="{FF2B5EF4-FFF2-40B4-BE49-F238E27FC236}">
              <a16:creationId xmlns:a16="http://schemas.microsoft.com/office/drawing/2014/main" id="{B5A0586C-421B-43AF-F2C9-4F530988D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12700</xdr:colOff>
      <xdr:row>45</xdr:row>
      <xdr:rowOff>190500</xdr:rowOff>
    </xdr:to>
    <xdr:sp macro="" textlink="">
      <xdr:nvSpPr>
        <xdr:cNvPr id="9233" name="AutoShape 17">
          <a:extLst>
            <a:ext uri="{FF2B5EF4-FFF2-40B4-BE49-F238E27FC236}">
              <a16:creationId xmlns:a16="http://schemas.microsoft.com/office/drawing/2014/main" id="{6698E1CD-0019-61CD-C5A6-70EF1D1F2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12700</xdr:colOff>
      <xdr:row>47</xdr:row>
      <xdr:rowOff>190500</xdr:rowOff>
    </xdr:to>
    <xdr:sp macro="" textlink="">
      <xdr:nvSpPr>
        <xdr:cNvPr id="9234" name="AutoShape 18">
          <a:extLst>
            <a:ext uri="{FF2B5EF4-FFF2-40B4-BE49-F238E27FC236}">
              <a16:creationId xmlns:a16="http://schemas.microsoft.com/office/drawing/2014/main" id="{7A139A36-D8B8-6E92-6823-B0118B58C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12700</xdr:colOff>
      <xdr:row>49</xdr:row>
      <xdr:rowOff>190500</xdr:rowOff>
    </xdr:to>
    <xdr:sp macro="" textlink="">
      <xdr:nvSpPr>
        <xdr:cNvPr id="9235" name="AutoShape 19">
          <a:extLst>
            <a:ext uri="{FF2B5EF4-FFF2-40B4-BE49-F238E27FC236}">
              <a16:creationId xmlns:a16="http://schemas.microsoft.com/office/drawing/2014/main" id="{FEFA98C7-205E-2ED2-1E17-3E6006935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12700</xdr:colOff>
      <xdr:row>51</xdr:row>
      <xdr:rowOff>133350</xdr:rowOff>
    </xdr:to>
    <xdr:sp macro="" textlink="">
      <xdr:nvSpPr>
        <xdr:cNvPr id="9236" name="AutoShape 20">
          <a:extLst>
            <a:ext uri="{FF2B5EF4-FFF2-40B4-BE49-F238E27FC236}">
              <a16:creationId xmlns:a16="http://schemas.microsoft.com/office/drawing/2014/main" id="{58D1A9DB-A080-BAEA-4A8F-1C0CFDD52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12700</xdr:colOff>
      <xdr:row>53</xdr:row>
      <xdr:rowOff>25400</xdr:rowOff>
    </xdr:to>
    <xdr:sp macro="" textlink="">
      <xdr:nvSpPr>
        <xdr:cNvPr id="9237" name="AutoShape 21">
          <a:extLst>
            <a:ext uri="{FF2B5EF4-FFF2-40B4-BE49-F238E27FC236}">
              <a16:creationId xmlns:a16="http://schemas.microsoft.com/office/drawing/2014/main" id="{004C4AB6-6679-9BFE-4568-926A425E4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12700</xdr:colOff>
      <xdr:row>54</xdr:row>
      <xdr:rowOff>190500</xdr:rowOff>
    </xdr:to>
    <xdr:sp macro="" textlink="">
      <xdr:nvSpPr>
        <xdr:cNvPr id="9238" name="AutoShape 22">
          <a:extLst>
            <a:ext uri="{FF2B5EF4-FFF2-40B4-BE49-F238E27FC236}">
              <a16:creationId xmlns:a16="http://schemas.microsoft.com/office/drawing/2014/main" id="{CA6F9CC6-2650-AF6A-261F-EC1B93B5E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12700</xdr:colOff>
      <xdr:row>56</xdr:row>
      <xdr:rowOff>190500</xdr:rowOff>
    </xdr:to>
    <xdr:sp macro="" textlink="">
      <xdr:nvSpPr>
        <xdr:cNvPr id="9239" name="AutoShape 23">
          <a:extLst>
            <a:ext uri="{FF2B5EF4-FFF2-40B4-BE49-F238E27FC236}">
              <a16:creationId xmlns:a16="http://schemas.microsoft.com/office/drawing/2014/main" id="{B0FF3E08-6B96-DF74-0647-2619AFBAF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12700</xdr:colOff>
      <xdr:row>58</xdr:row>
      <xdr:rowOff>190500</xdr:rowOff>
    </xdr:to>
    <xdr:sp macro="" textlink="">
      <xdr:nvSpPr>
        <xdr:cNvPr id="9240" name="AutoShape 24">
          <a:extLst>
            <a:ext uri="{FF2B5EF4-FFF2-40B4-BE49-F238E27FC236}">
              <a16:creationId xmlns:a16="http://schemas.microsoft.com/office/drawing/2014/main" id="{591B18E2-B1B1-59DE-98D2-A3F3CA8BF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2</xdr:col>
      <xdr:colOff>12700</xdr:colOff>
      <xdr:row>60</xdr:row>
      <xdr:rowOff>146050</xdr:rowOff>
    </xdr:to>
    <xdr:sp macro="" textlink="">
      <xdr:nvSpPr>
        <xdr:cNvPr id="9241" name="AutoShape 25">
          <a:extLst>
            <a:ext uri="{FF2B5EF4-FFF2-40B4-BE49-F238E27FC236}">
              <a16:creationId xmlns:a16="http://schemas.microsoft.com/office/drawing/2014/main" id="{190339D4-4655-BB9F-E657-2ACA9DD92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12700</xdr:colOff>
      <xdr:row>62</xdr:row>
      <xdr:rowOff>38100</xdr:rowOff>
    </xdr:to>
    <xdr:sp macro="" textlink="">
      <xdr:nvSpPr>
        <xdr:cNvPr id="9242" name="AutoShape 26">
          <a:extLst>
            <a:ext uri="{FF2B5EF4-FFF2-40B4-BE49-F238E27FC236}">
              <a16:creationId xmlns:a16="http://schemas.microsoft.com/office/drawing/2014/main" id="{CC131158-CF1A-58E7-B251-6B17309F2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12700</xdr:colOff>
      <xdr:row>63</xdr:row>
      <xdr:rowOff>190500</xdr:rowOff>
    </xdr:to>
    <xdr:sp macro="" textlink="">
      <xdr:nvSpPr>
        <xdr:cNvPr id="9243" name="AutoShape 27">
          <a:extLst>
            <a:ext uri="{FF2B5EF4-FFF2-40B4-BE49-F238E27FC236}">
              <a16:creationId xmlns:a16="http://schemas.microsoft.com/office/drawing/2014/main" id="{33D621F1-31C1-077C-B98A-CEB3EF247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2</xdr:col>
      <xdr:colOff>12700</xdr:colOff>
      <xdr:row>65</xdr:row>
      <xdr:rowOff>190500</xdr:rowOff>
    </xdr:to>
    <xdr:sp macro="" textlink="">
      <xdr:nvSpPr>
        <xdr:cNvPr id="9244" name="AutoShape 28">
          <a:extLst>
            <a:ext uri="{FF2B5EF4-FFF2-40B4-BE49-F238E27FC236}">
              <a16:creationId xmlns:a16="http://schemas.microsoft.com/office/drawing/2014/main" id="{243ECE27-BEAF-DB6B-7E79-5FAC270D0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12700</xdr:colOff>
      <xdr:row>67</xdr:row>
      <xdr:rowOff>190500</xdr:rowOff>
    </xdr:to>
    <xdr:sp macro="" textlink="">
      <xdr:nvSpPr>
        <xdr:cNvPr id="9245" name="AutoShape 29">
          <a:extLst>
            <a:ext uri="{FF2B5EF4-FFF2-40B4-BE49-F238E27FC236}">
              <a16:creationId xmlns:a16="http://schemas.microsoft.com/office/drawing/2014/main" id="{0BE7EEE4-F420-8886-BA67-F1A257914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184150</xdr:rowOff>
    </xdr:from>
    <xdr:to>
      <xdr:col>2</xdr:col>
      <xdr:colOff>12700</xdr:colOff>
      <xdr:row>69</xdr:row>
      <xdr:rowOff>158750</xdr:rowOff>
    </xdr:to>
    <xdr:sp macro="" textlink="">
      <xdr:nvSpPr>
        <xdr:cNvPr id="9246" name="AutoShape 30">
          <a:extLst>
            <a:ext uri="{FF2B5EF4-FFF2-40B4-BE49-F238E27FC236}">
              <a16:creationId xmlns:a16="http://schemas.microsoft.com/office/drawing/2014/main" id="{D0B19EF3-F4CF-2524-411A-3155D634F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76200</xdr:rowOff>
    </xdr:from>
    <xdr:to>
      <xdr:col>2</xdr:col>
      <xdr:colOff>12700</xdr:colOff>
      <xdr:row>71</xdr:row>
      <xdr:rowOff>50800</xdr:rowOff>
    </xdr:to>
    <xdr:sp macro="" textlink="">
      <xdr:nvSpPr>
        <xdr:cNvPr id="9247" name="AutoShape 31">
          <a:extLst>
            <a:ext uri="{FF2B5EF4-FFF2-40B4-BE49-F238E27FC236}">
              <a16:creationId xmlns:a16="http://schemas.microsoft.com/office/drawing/2014/main" id="{89A748DC-D54D-F984-7BB9-FFC89AF1F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520700</xdr:rowOff>
    </xdr:from>
    <xdr:to>
      <xdr:col>2</xdr:col>
      <xdr:colOff>12700</xdr:colOff>
      <xdr:row>72</xdr:row>
      <xdr:rowOff>190500</xdr:rowOff>
    </xdr:to>
    <xdr:sp macro="" textlink="">
      <xdr:nvSpPr>
        <xdr:cNvPr id="9248" name="AutoShape 32">
          <a:extLst>
            <a:ext uri="{FF2B5EF4-FFF2-40B4-BE49-F238E27FC236}">
              <a16:creationId xmlns:a16="http://schemas.microsoft.com/office/drawing/2014/main" id="{68B285EA-63EF-C40F-9B0D-39AEC8D8A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412750</xdr:rowOff>
    </xdr:from>
    <xdr:to>
      <xdr:col>2</xdr:col>
      <xdr:colOff>12700</xdr:colOff>
      <xdr:row>75</xdr:row>
      <xdr:rowOff>6350</xdr:rowOff>
    </xdr:to>
    <xdr:sp macro="" textlink="">
      <xdr:nvSpPr>
        <xdr:cNvPr id="9249" name="AutoShape 33">
          <a:extLst>
            <a:ext uri="{FF2B5EF4-FFF2-40B4-BE49-F238E27FC236}">
              <a16:creationId xmlns:a16="http://schemas.microsoft.com/office/drawing/2014/main" id="{2DFEF7D1-0BD2-B019-24D1-53C14F64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304800</xdr:rowOff>
    </xdr:from>
    <xdr:to>
      <xdr:col>2</xdr:col>
      <xdr:colOff>12700</xdr:colOff>
      <xdr:row>77</xdr:row>
      <xdr:rowOff>69850</xdr:rowOff>
    </xdr:to>
    <xdr:sp macro="" textlink="">
      <xdr:nvSpPr>
        <xdr:cNvPr id="9250" name="AutoShape 34">
          <a:extLst>
            <a:ext uri="{FF2B5EF4-FFF2-40B4-BE49-F238E27FC236}">
              <a16:creationId xmlns:a16="http://schemas.microsoft.com/office/drawing/2014/main" id="{44E89A7C-FBDF-2A09-8F35-A7539C861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12700</xdr:rowOff>
    </xdr:from>
    <xdr:to>
      <xdr:col>2</xdr:col>
      <xdr:colOff>12700</xdr:colOff>
      <xdr:row>81</xdr:row>
      <xdr:rowOff>82550</xdr:rowOff>
    </xdr:to>
    <xdr:sp macro="" textlink="">
      <xdr:nvSpPr>
        <xdr:cNvPr id="9251" name="AutoShape 35">
          <a:extLst>
            <a:ext uri="{FF2B5EF4-FFF2-40B4-BE49-F238E27FC236}">
              <a16:creationId xmlns:a16="http://schemas.microsoft.com/office/drawing/2014/main" id="{0947A590-CD0C-347C-BFBC-2BF18EECA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88900</xdr:rowOff>
    </xdr:from>
    <xdr:to>
      <xdr:col>2</xdr:col>
      <xdr:colOff>12700</xdr:colOff>
      <xdr:row>86</xdr:row>
      <xdr:rowOff>158750</xdr:rowOff>
    </xdr:to>
    <xdr:sp macro="" textlink="">
      <xdr:nvSpPr>
        <xdr:cNvPr id="9252" name="AutoShape 36">
          <a:extLst>
            <a:ext uri="{FF2B5EF4-FFF2-40B4-BE49-F238E27FC236}">
              <a16:creationId xmlns:a16="http://schemas.microsoft.com/office/drawing/2014/main" id="{8DE5E48B-D141-6FBD-0776-E5637DD4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165100</xdr:rowOff>
    </xdr:from>
    <xdr:to>
      <xdr:col>2</xdr:col>
      <xdr:colOff>12700</xdr:colOff>
      <xdr:row>92</xdr:row>
      <xdr:rowOff>50800</xdr:rowOff>
    </xdr:to>
    <xdr:sp macro="" textlink="">
      <xdr:nvSpPr>
        <xdr:cNvPr id="9253" name="AutoShape 37">
          <a:extLst>
            <a:ext uri="{FF2B5EF4-FFF2-40B4-BE49-F238E27FC236}">
              <a16:creationId xmlns:a16="http://schemas.microsoft.com/office/drawing/2014/main" id="{E786B061-FED1-FD0D-B915-42C01DED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57150</xdr:rowOff>
    </xdr:from>
    <xdr:to>
      <xdr:col>2</xdr:col>
      <xdr:colOff>12700</xdr:colOff>
      <xdr:row>97</xdr:row>
      <xdr:rowOff>127000</xdr:rowOff>
    </xdr:to>
    <xdr:sp macro="" textlink="">
      <xdr:nvSpPr>
        <xdr:cNvPr id="9254" name="AutoShape 38">
          <a:extLst>
            <a:ext uri="{FF2B5EF4-FFF2-40B4-BE49-F238E27FC236}">
              <a16:creationId xmlns:a16="http://schemas.microsoft.com/office/drawing/2014/main" id="{0ACBCFEE-296C-F739-E760-9577200E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133350</xdr:rowOff>
    </xdr:from>
    <xdr:to>
      <xdr:col>2</xdr:col>
      <xdr:colOff>12700</xdr:colOff>
      <xdr:row>103</xdr:row>
      <xdr:rowOff>19050</xdr:rowOff>
    </xdr:to>
    <xdr:sp macro="" textlink="">
      <xdr:nvSpPr>
        <xdr:cNvPr id="9255" name="AutoShape 39">
          <a:extLst>
            <a:ext uri="{FF2B5EF4-FFF2-40B4-BE49-F238E27FC236}">
              <a16:creationId xmlns:a16="http://schemas.microsoft.com/office/drawing/2014/main" id="{5A87DEF1-2FF4-E0A2-16BF-4EA1D525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25400</xdr:rowOff>
    </xdr:from>
    <xdr:to>
      <xdr:col>2</xdr:col>
      <xdr:colOff>12700</xdr:colOff>
      <xdr:row>108</xdr:row>
      <xdr:rowOff>95250</xdr:rowOff>
    </xdr:to>
    <xdr:sp macro="" textlink="">
      <xdr:nvSpPr>
        <xdr:cNvPr id="9256" name="AutoShape 40">
          <a:extLst>
            <a:ext uri="{FF2B5EF4-FFF2-40B4-BE49-F238E27FC236}">
              <a16:creationId xmlns:a16="http://schemas.microsoft.com/office/drawing/2014/main" id="{9774B18E-45E6-11E4-6505-AFE57AC87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101600</xdr:rowOff>
    </xdr:from>
    <xdr:to>
      <xdr:col>2</xdr:col>
      <xdr:colOff>12700</xdr:colOff>
      <xdr:row>113</xdr:row>
      <xdr:rowOff>171450</xdr:rowOff>
    </xdr:to>
    <xdr:sp macro="" textlink="">
      <xdr:nvSpPr>
        <xdr:cNvPr id="9257" name="AutoShape 41">
          <a:extLst>
            <a:ext uri="{FF2B5EF4-FFF2-40B4-BE49-F238E27FC236}">
              <a16:creationId xmlns:a16="http://schemas.microsoft.com/office/drawing/2014/main" id="{02BBFECA-37E5-9FF4-D640-0837BDD94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177800</xdr:rowOff>
    </xdr:from>
    <xdr:to>
      <xdr:col>2</xdr:col>
      <xdr:colOff>12700</xdr:colOff>
      <xdr:row>119</xdr:row>
      <xdr:rowOff>63500</xdr:rowOff>
    </xdr:to>
    <xdr:sp macro="" textlink="">
      <xdr:nvSpPr>
        <xdr:cNvPr id="9258" name="AutoShape 42">
          <a:extLst>
            <a:ext uri="{FF2B5EF4-FFF2-40B4-BE49-F238E27FC236}">
              <a16:creationId xmlns:a16="http://schemas.microsoft.com/office/drawing/2014/main" id="{3131C302-D63F-4820-9947-8A5C8FB18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69850</xdr:rowOff>
    </xdr:from>
    <xdr:to>
      <xdr:col>2</xdr:col>
      <xdr:colOff>12700</xdr:colOff>
      <xdr:row>124</xdr:row>
      <xdr:rowOff>139700</xdr:rowOff>
    </xdr:to>
    <xdr:sp macro="" textlink="">
      <xdr:nvSpPr>
        <xdr:cNvPr id="9259" name="AutoShape 43">
          <a:extLst>
            <a:ext uri="{FF2B5EF4-FFF2-40B4-BE49-F238E27FC236}">
              <a16:creationId xmlns:a16="http://schemas.microsoft.com/office/drawing/2014/main" id="{EF613784-9761-DA0F-2F9C-C30903E0F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38100</xdr:rowOff>
    </xdr:from>
    <xdr:to>
      <xdr:col>2</xdr:col>
      <xdr:colOff>12700</xdr:colOff>
      <xdr:row>135</xdr:row>
      <xdr:rowOff>107950</xdr:rowOff>
    </xdr:to>
    <xdr:sp macro="" textlink="">
      <xdr:nvSpPr>
        <xdr:cNvPr id="9261" name="AutoShape 45">
          <a:extLst>
            <a:ext uri="{FF2B5EF4-FFF2-40B4-BE49-F238E27FC236}">
              <a16:creationId xmlns:a16="http://schemas.microsoft.com/office/drawing/2014/main" id="{C2C14814-4067-A74C-5808-8D2BCB62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114300</xdr:rowOff>
    </xdr:from>
    <xdr:to>
      <xdr:col>2</xdr:col>
      <xdr:colOff>12700</xdr:colOff>
      <xdr:row>141</xdr:row>
      <xdr:rowOff>0</xdr:rowOff>
    </xdr:to>
    <xdr:sp macro="" textlink="">
      <xdr:nvSpPr>
        <xdr:cNvPr id="9262" name="AutoShape 46">
          <a:extLst>
            <a:ext uri="{FF2B5EF4-FFF2-40B4-BE49-F238E27FC236}">
              <a16:creationId xmlns:a16="http://schemas.microsoft.com/office/drawing/2014/main" id="{FFA1D14D-2FFE-1D52-99D2-75A0EC99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6350</xdr:rowOff>
    </xdr:from>
    <xdr:to>
      <xdr:col>2</xdr:col>
      <xdr:colOff>12700</xdr:colOff>
      <xdr:row>146</xdr:row>
      <xdr:rowOff>76200</xdr:rowOff>
    </xdr:to>
    <xdr:sp macro="" textlink="">
      <xdr:nvSpPr>
        <xdr:cNvPr id="9263" name="AutoShape 47">
          <a:extLst>
            <a:ext uri="{FF2B5EF4-FFF2-40B4-BE49-F238E27FC236}">
              <a16:creationId xmlns:a16="http://schemas.microsoft.com/office/drawing/2014/main" id="{7E98CCA9-7588-50FE-F31F-CE18177A6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82550</xdr:rowOff>
    </xdr:from>
    <xdr:to>
      <xdr:col>2</xdr:col>
      <xdr:colOff>12700</xdr:colOff>
      <xdr:row>151</xdr:row>
      <xdr:rowOff>152400</xdr:rowOff>
    </xdr:to>
    <xdr:sp macro="" textlink="">
      <xdr:nvSpPr>
        <xdr:cNvPr id="9264" name="AutoShape 48">
          <a:extLst>
            <a:ext uri="{FF2B5EF4-FFF2-40B4-BE49-F238E27FC236}">
              <a16:creationId xmlns:a16="http://schemas.microsoft.com/office/drawing/2014/main" id="{5FBC5315-5244-75EB-130D-373ED22CD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158750</xdr:rowOff>
    </xdr:from>
    <xdr:to>
      <xdr:col>2</xdr:col>
      <xdr:colOff>12700</xdr:colOff>
      <xdr:row>157</xdr:row>
      <xdr:rowOff>44450</xdr:rowOff>
    </xdr:to>
    <xdr:sp macro="" textlink="">
      <xdr:nvSpPr>
        <xdr:cNvPr id="9265" name="AutoShape 49">
          <a:extLst>
            <a:ext uri="{FF2B5EF4-FFF2-40B4-BE49-F238E27FC236}">
              <a16:creationId xmlns:a16="http://schemas.microsoft.com/office/drawing/2014/main" id="{C2AE927A-4DA5-BB27-53F8-65B27D7D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50800</xdr:rowOff>
    </xdr:from>
    <xdr:to>
      <xdr:col>2</xdr:col>
      <xdr:colOff>12700</xdr:colOff>
      <xdr:row>162</xdr:row>
      <xdr:rowOff>120650</xdr:rowOff>
    </xdr:to>
    <xdr:sp macro="" textlink="">
      <xdr:nvSpPr>
        <xdr:cNvPr id="9266" name="AutoShape 50">
          <a:extLst>
            <a:ext uri="{FF2B5EF4-FFF2-40B4-BE49-F238E27FC236}">
              <a16:creationId xmlns:a16="http://schemas.microsoft.com/office/drawing/2014/main" id="{BBA2FF5A-0B45-AFF2-4A81-E3F1EA10C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127000</xdr:rowOff>
    </xdr:from>
    <xdr:to>
      <xdr:col>2</xdr:col>
      <xdr:colOff>12700</xdr:colOff>
      <xdr:row>168</xdr:row>
      <xdr:rowOff>12700</xdr:rowOff>
    </xdr:to>
    <xdr:sp macro="" textlink="">
      <xdr:nvSpPr>
        <xdr:cNvPr id="9267" name="AutoShape 51">
          <a:extLst>
            <a:ext uri="{FF2B5EF4-FFF2-40B4-BE49-F238E27FC236}">
              <a16:creationId xmlns:a16="http://schemas.microsoft.com/office/drawing/2014/main" id="{8701DF87-4983-2715-055F-85A6CC8E2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19050</xdr:rowOff>
    </xdr:from>
    <xdr:to>
      <xdr:col>2</xdr:col>
      <xdr:colOff>12700</xdr:colOff>
      <xdr:row>173</xdr:row>
      <xdr:rowOff>88900</xdr:rowOff>
    </xdr:to>
    <xdr:sp macro="" textlink="">
      <xdr:nvSpPr>
        <xdr:cNvPr id="9268" name="AutoShape 52">
          <a:extLst>
            <a:ext uri="{FF2B5EF4-FFF2-40B4-BE49-F238E27FC236}">
              <a16:creationId xmlns:a16="http://schemas.microsoft.com/office/drawing/2014/main" id="{FF63F30B-69B3-8AF6-055B-4A5F3C7E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95250</xdr:rowOff>
    </xdr:from>
    <xdr:to>
      <xdr:col>2</xdr:col>
      <xdr:colOff>12700</xdr:colOff>
      <xdr:row>178</xdr:row>
      <xdr:rowOff>165100</xdr:rowOff>
    </xdr:to>
    <xdr:sp macro="" textlink="">
      <xdr:nvSpPr>
        <xdr:cNvPr id="9269" name="AutoShape 53">
          <a:extLst>
            <a:ext uri="{FF2B5EF4-FFF2-40B4-BE49-F238E27FC236}">
              <a16:creationId xmlns:a16="http://schemas.microsoft.com/office/drawing/2014/main" id="{3E816113-9D21-596A-8334-687EFF46C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171450</xdr:rowOff>
    </xdr:from>
    <xdr:to>
      <xdr:col>2</xdr:col>
      <xdr:colOff>12700</xdr:colOff>
      <xdr:row>184</xdr:row>
      <xdr:rowOff>57150</xdr:rowOff>
    </xdr:to>
    <xdr:sp macro="" textlink="">
      <xdr:nvSpPr>
        <xdr:cNvPr id="9270" name="AutoShape 54">
          <a:extLst>
            <a:ext uri="{FF2B5EF4-FFF2-40B4-BE49-F238E27FC236}">
              <a16:creationId xmlns:a16="http://schemas.microsoft.com/office/drawing/2014/main" id="{9C82AB0A-DCFE-34D7-9A2F-F9D006FFD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06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63500</xdr:rowOff>
    </xdr:from>
    <xdr:to>
      <xdr:col>2</xdr:col>
      <xdr:colOff>12700</xdr:colOff>
      <xdr:row>189</xdr:row>
      <xdr:rowOff>133350</xdr:rowOff>
    </xdr:to>
    <xdr:sp macro="" textlink="">
      <xdr:nvSpPr>
        <xdr:cNvPr id="9271" name="AutoShape 55">
          <a:extLst>
            <a:ext uri="{FF2B5EF4-FFF2-40B4-BE49-F238E27FC236}">
              <a16:creationId xmlns:a16="http://schemas.microsoft.com/office/drawing/2014/main" id="{C74185AA-456E-5229-ACD9-B4AADA50F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063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139700</xdr:rowOff>
    </xdr:from>
    <xdr:to>
      <xdr:col>2</xdr:col>
      <xdr:colOff>12700</xdr:colOff>
      <xdr:row>195</xdr:row>
      <xdr:rowOff>25400</xdr:rowOff>
    </xdr:to>
    <xdr:sp macro="" textlink="">
      <xdr:nvSpPr>
        <xdr:cNvPr id="9272" name="AutoShape 56">
          <a:extLst>
            <a:ext uri="{FF2B5EF4-FFF2-40B4-BE49-F238E27FC236}">
              <a16:creationId xmlns:a16="http://schemas.microsoft.com/office/drawing/2014/main" id="{35395C0E-2809-589F-6040-0FB94335E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60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31750</xdr:rowOff>
    </xdr:from>
    <xdr:to>
      <xdr:col>2</xdr:col>
      <xdr:colOff>12700</xdr:colOff>
      <xdr:row>200</xdr:row>
      <xdr:rowOff>101600</xdr:rowOff>
    </xdr:to>
    <xdr:sp macro="" textlink="">
      <xdr:nvSpPr>
        <xdr:cNvPr id="9273" name="AutoShape 57">
          <a:extLst>
            <a:ext uri="{FF2B5EF4-FFF2-40B4-BE49-F238E27FC236}">
              <a16:creationId xmlns:a16="http://schemas.microsoft.com/office/drawing/2014/main" id="{306CF3C1-8E5A-C578-420B-4EC72E2CB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57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107950</xdr:rowOff>
    </xdr:from>
    <xdr:to>
      <xdr:col>2</xdr:col>
      <xdr:colOff>12700</xdr:colOff>
      <xdr:row>205</xdr:row>
      <xdr:rowOff>177800</xdr:rowOff>
    </xdr:to>
    <xdr:sp macro="" textlink="">
      <xdr:nvSpPr>
        <xdr:cNvPr id="9274" name="AutoShape 58">
          <a:extLst>
            <a:ext uri="{FF2B5EF4-FFF2-40B4-BE49-F238E27FC236}">
              <a16:creationId xmlns:a16="http://schemas.microsoft.com/office/drawing/2014/main" id="{97B0538D-9E11-FD9A-F124-706A1A7A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05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12700</xdr:colOff>
      <xdr:row>211</xdr:row>
      <xdr:rowOff>69850</xdr:rowOff>
    </xdr:to>
    <xdr:sp macro="" textlink="">
      <xdr:nvSpPr>
        <xdr:cNvPr id="9275" name="AutoShape 59">
          <a:extLst>
            <a:ext uri="{FF2B5EF4-FFF2-40B4-BE49-F238E27FC236}">
              <a16:creationId xmlns:a16="http://schemas.microsoft.com/office/drawing/2014/main" id="{1B5D3D25-8DED-A01F-C1E1-E1042A585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05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76200</xdr:rowOff>
    </xdr:from>
    <xdr:to>
      <xdr:col>2</xdr:col>
      <xdr:colOff>12700</xdr:colOff>
      <xdr:row>216</xdr:row>
      <xdr:rowOff>146050</xdr:rowOff>
    </xdr:to>
    <xdr:sp macro="" textlink="">
      <xdr:nvSpPr>
        <xdr:cNvPr id="9276" name="AutoShape 60">
          <a:extLst>
            <a:ext uri="{FF2B5EF4-FFF2-40B4-BE49-F238E27FC236}">
              <a16:creationId xmlns:a16="http://schemas.microsoft.com/office/drawing/2014/main" id="{37821458-13A1-543D-3109-5B20AADC0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48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06DDEE9-7C90-4401-AE4F-1543789DB3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C335124-79FA-46C5-BF19-4DAAA3494B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695F525-DA73-4D85-98BA-43B8E9D2F3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09481A7-C70F-4EF0-BDCD-E6680539F5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81B79EF-41F9-440C-B207-09757A66C9D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E49E5B3-AA4B-40D2-8FC4-E08D687713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9169590-0F6F-4CAE-B3EE-5C572587C3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BC0C42E-EEE5-497D-B805-2BC6093A1B6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6219518-D7DE-43A7-A436-88BBC93D1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151F3A7-8321-467F-9212-31967A0B5D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CB8CDFF-F070-452C-B0A6-E76243C88B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BD4C916-8760-4984-A300-9D150EA3D3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47A9B61C-A3A9-4B7B-A181-124F679852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D665380-9685-4FD7-89E2-59561834046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50547E7-B28A-484B-9F1B-6E19BD7FCE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0FB5D89-2539-45C5-97AA-77B1DDF38D7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0663BFC-E21F-4EE3-8036-8FEA7D47B6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B0B86B7-9A11-4B5C-8BAA-EB09D94DB5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CECA41F-7C03-4A3B-A711-73B670E09D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D29D59E-8BF1-4963-9329-09C403E2FE2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F836042-34D9-4753-BE41-31BA1990F6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FBAE425-B23F-4199-AF1C-EFE54117072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A7E9873-B001-4785-8308-A992A9C0E3D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95B82CA-98DC-4D3D-A3B6-629AD9E900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954C551-E5F5-4877-967A-2C6468A0E1E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436674FB-9948-4369-8E6A-FA2209258F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B8B95AD-152D-4B7F-87AF-2A2CBAF76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DA3FA111-68E7-4A9F-BA4E-F4BF40E75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6A6E9E91-94B0-4EF3-9881-BF627BB626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2F22233-AFA8-4F68-A0E5-249AC01719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D12DDA3-F652-49B4-B97E-2457BFDF710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FA0352-A998-4525-A5D2-DC88B942ABE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224091F-5336-405E-8009-6F830FEA1E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87F0501-9D9C-414E-A746-D496C4A2D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486653C-8D38-4BE8-B9D1-425829CA02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F3914819-D758-4846-89C4-C24EEBC9FA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DB464EE-A729-4E91-BCDC-AD0FCC93A99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4317702-5166-41DA-82D5-D6C19E6EC20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772FCC6-7663-4B9E-9CCB-DB6D3637C9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B1EEB75-01A0-4F93-99B4-A5D82222E3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DEDECDD-21FC-4F7E-AEB4-E7B15867981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50D0B2A-D656-4A67-AE52-855A098F8B7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103ED8E-EB5D-4C94-AEBE-CB26A9B0BD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C72CCF90-FF0D-4F9D-B61C-D6288D398FE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15CADE0-CFA6-4B87-8A69-ACE657E72F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2F311920-6839-47E0-9CDD-F9CC584450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8BD47FCB-EE30-4477-AA9D-7A05755AFB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BA43BE8-C1F5-4410-B04B-8B56FDE28E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9CE2240-FC69-421B-82FB-98F17F12482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BDE5457-912C-42AE-B60F-7A46D5EDD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96634C8-E9A2-4439-B9BF-15F803EDCE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73E9B78-CC2C-4E20-B7E6-81C32B905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63DAEEF-1559-4A22-A658-07C717D1CD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0910B23-C844-42EF-A51D-55D1965572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8897C89-B037-4C23-A148-1A344CA628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D7357031-F670-4CCD-9C6B-417A9F9BAB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4920800C-8E85-476F-860E-BEB3D3C4B65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CF789945-C224-4302-AB9A-94E2BD1F9D2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F16A455-6B75-4D85-91AF-D3D42F5494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518D7F5-2C1C-42B3-AF98-B75158FAD6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8CECD2D0-B044-4E35-8E8E-12366649E2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EF84459A-6A0C-440F-B0CE-A287B2FD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B2142FD3-0F2B-4177-AA28-292CC5F19AD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442C01D9-0127-448A-B255-883CE765B2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3269641B-A230-4296-816E-9905834430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AD6331EE-5AC2-4FE0-819E-593018218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5DBC368E-89D1-4E3B-B67F-857A679B6D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1E967137-3852-4D37-8E5A-ADEE36C21A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4782FE81-48B7-4B03-91C9-3561AEC12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27D0155-E511-40D7-854A-1CD0755E79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FF2E8AB8-2277-492D-B892-28EC81CB233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4F31F3D5-0EC6-465F-A08C-518F659DB5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2A157009-29F3-4139-BA74-9B328DC6B2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EAFB60D1-87A2-425B-8804-7C6EA978FC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F328F787-5BC0-4B9C-9327-4B3652399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1706586D-98A8-420B-AA4C-2AD1E8D37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F58C7AFC-9CA3-4A93-831B-629EBAB4D8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29989787-7903-4499-9339-FAA36D74D0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8FD0BD22-DD72-4AF1-8ECE-8CCADE8E32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B8AE9D22-977C-48A8-BC13-6A03739BDE0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BFE897D3-4715-4737-9123-B0B304C91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3751C453-ACCB-4A6F-8FB4-C021CDD277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B19AD324-7834-483A-ABC8-642FF74B01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3B1AC450-1A51-4AC8-86ED-B1D44361C75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D34AD43C-DDC8-4075-98CB-D3B601CEA13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5FCCEA35-FACC-4F8F-9846-29655BF499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700F2E05-EEB2-416F-AA79-F8DC647AEB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7EAA6907-D77F-4D71-9F35-C64B047356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97C9F3C8-2C85-4519-AB8B-C1113619C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0CB0518A-9BD1-440B-852C-EE859B6DD1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857F586D-1F65-468B-A0F3-26DE5C686F1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029FC1A3-0A02-4ECD-B28E-93D5FDCF30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46D0CCCD-4899-4B09-9AEE-63073CB1993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53AF40BB-6560-475D-AC2B-32050CD9C7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EB302A56-CCBF-428B-B371-7CA437808AA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D0E8FB39-4613-4040-BEDC-54AF5DC7FB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A5813ACA-8C3A-4482-90AA-591805BA9C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8C4314BD-15A0-45C4-B2CC-AA0100FE05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9364E43E-12CC-49A1-B5F6-EAB7F53AEC4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F99A24DF-AF4A-4EF2-B501-F2E5C132BB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F1D64282-4685-445C-A1CD-F075F995D76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B29D3283-88CA-4C06-A95E-6F17E0C729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EF9D2ECD-DB50-4504-8BA7-38E7BD5B4B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1EC3A13A-880F-43BA-9CD4-2505BDB849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F1E8CE00-4B3C-4E2D-960D-1B1197DCFC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C6164E12-4BB2-4CBB-89E7-28C0BACF039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70FD21C5-A253-4F38-8DF8-61EC1845E9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CD9923B-EF86-4B17-A6B2-86B742D245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A120F808-A927-41F6-AA2C-55B90DCE60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81D19715-9B72-4398-8A8C-6D39885533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6DC658C8-8631-43B4-B5E3-FFA818CFB5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989F0CA5-2F62-4289-AA0D-DD4BD10EF7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E6A7C092-A637-4D08-ACF5-B9DB6EC4589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24961DA6-C7B2-4BF3-973F-D1983CF533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D0AD5234-0143-4F73-9536-F7B4137D33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3F6F0BB9-2844-42D7-B4CC-8BDEB14FD3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4B1E0369-E1E4-4250-857E-0AECA319DA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8A34AAA6-8E5D-4694-9425-0B591DB4F4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869950</xdr:colOff>
      <xdr:row>7</xdr:row>
      <xdr:rowOff>107950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FF843A47-6975-4920-B853-06F0D4C6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ofr\Downloads\KNEC%202025\Grade%208\student_data_Grade%206.xlsx" TargetMode="External"/><Relationship Id="rId1" Type="http://schemas.openxmlformats.org/officeDocument/2006/relationships/externalLinkPath" Target="/Users/geofr/Downloads/KNEC%202025/Grade%208/student_data_Grade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ents"/>
    </sheetNames>
    <sheetDataSet>
      <sheetData sheetId="0">
        <row r="2">
          <cell r="H2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FEF9-E705-4C4A-A640-09168F2B57EB}">
  <dimension ref="A1:V14"/>
  <sheetViews>
    <sheetView tabSelected="1" topLeftCell="D1" zoomScale="129" zoomScaleNormal="129" zoomScaleSheetLayoutView="117" workbookViewId="0">
      <selection activeCell="H1" sqref="H1:H1048576"/>
    </sheetView>
  </sheetViews>
  <sheetFormatPr defaultColWidth="32.36328125" defaultRowHeight="12" customHeight="1" x14ac:dyDescent="0.3"/>
  <cols>
    <col min="1" max="1" width="7.26953125" style="4" bestFit="1" customWidth="1"/>
    <col min="2" max="2" width="8.54296875" style="4" bestFit="1" customWidth="1"/>
    <col min="3" max="3" width="15.6328125" style="4" bestFit="1" customWidth="1"/>
    <col min="4" max="4" width="27.90625" style="35" bestFit="1" customWidth="1"/>
    <col min="5" max="5" width="11.1796875" style="35" bestFit="1" customWidth="1"/>
    <col min="6" max="6" width="11.1796875" style="35" customWidth="1"/>
    <col min="7" max="7" width="11" style="4" bestFit="1" customWidth="1"/>
    <col min="8" max="8" width="14.90625" style="4" bestFit="1" customWidth="1"/>
    <col min="9" max="9" width="7.26953125" style="4" bestFit="1" customWidth="1"/>
    <col min="10" max="10" width="18.6328125" style="4" bestFit="1" customWidth="1"/>
    <col min="11" max="11" width="5.08984375" style="4" bestFit="1" customWidth="1"/>
    <col min="12" max="16384" width="32.36328125" style="4"/>
  </cols>
  <sheetData>
    <row r="1" spans="1:22" s="1" customFormat="1" ht="14" x14ac:dyDescent="0.3">
      <c r="A1" s="2" t="s">
        <v>1284</v>
      </c>
      <c r="B1" s="36" t="s">
        <v>378</v>
      </c>
      <c r="C1" s="36" t="s">
        <v>1282</v>
      </c>
      <c r="D1" s="36" t="s">
        <v>1283</v>
      </c>
      <c r="E1" s="37" t="s">
        <v>0</v>
      </c>
      <c r="F1" s="2" t="s">
        <v>1288</v>
      </c>
      <c r="G1" s="2" t="s">
        <v>1291</v>
      </c>
      <c r="H1" s="2" t="s">
        <v>1291</v>
      </c>
      <c r="I1" s="2" t="s">
        <v>1289</v>
      </c>
      <c r="J1" s="2" t="s">
        <v>1292</v>
      </c>
      <c r="K1" s="2" t="s">
        <v>1290</v>
      </c>
    </row>
    <row r="2" spans="1:22" ht="14" x14ac:dyDescent="0.3">
      <c r="A2" s="4" t="s">
        <v>1285</v>
      </c>
      <c r="B2" s="4" t="s">
        <v>332</v>
      </c>
      <c r="C2" s="4" t="s">
        <v>727</v>
      </c>
      <c r="D2" s="4" t="s">
        <v>1286</v>
      </c>
      <c r="E2" s="4" t="s">
        <v>380</v>
      </c>
      <c r="F2" s="4">
        <v>90</v>
      </c>
      <c r="H2" s="4" t="b">
        <f>[1]Students!$H$2=IF(F2&gt;=90,"Exceeds Expectations",IF(F2&gt;=80,"Meet Expectations",IF(F2&gt;=69,"Approach expectations","Below Expectation")))</f>
        <v>0</v>
      </c>
      <c r="I2" s="4">
        <v>80</v>
      </c>
      <c r="J2" s="4" t="str">
        <f>IF(I2&gt;=90,"Exceeds Expectations",IF(I2&gt;=80,"Meet Expectations",IF(I2&gt;=69,"Approach expectations","Below Expectation")))</f>
        <v>Meet Expectations</v>
      </c>
      <c r="K2" s="4">
        <f>SUM(F2:I2)</f>
        <v>170</v>
      </c>
    </row>
    <row r="3" spans="1:22" ht="14.5" thickBot="1" x14ac:dyDescent="0.35">
      <c r="A3" s="4" t="s">
        <v>1285</v>
      </c>
      <c r="B3" s="4" t="s">
        <v>333</v>
      </c>
      <c r="C3" s="4" t="s">
        <v>728</v>
      </c>
      <c r="D3" s="4" t="s">
        <v>1287</v>
      </c>
      <c r="E3" s="4" t="s">
        <v>381</v>
      </c>
      <c r="F3" s="4">
        <v>87</v>
      </c>
      <c r="H3" s="4" t="str">
        <f>IF(F3&gt;=90,"Exceeds Expectations",IF(F3&gt;=80,"Meet Expectations",IF(F3&gt;=69,"Approach expectations","Below Expectation")))</f>
        <v>Meet Expectations</v>
      </c>
      <c r="I3" s="4">
        <v>60</v>
      </c>
      <c r="J3" s="4" t="str">
        <f>IF(I3&gt;=90,"Exceeds Expectations",IF(I3&gt;=80,"Meet Expectations",IF(I3&gt;=69,"Approach expectations","Below Expectation")))</f>
        <v>Below Expectation</v>
      </c>
      <c r="K3" s="4">
        <f>SUM(F3:I3)</f>
        <v>147</v>
      </c>
    </row>
    <row r="4" spans="1:22" ht="12" customHeight="1" thickTop="1" thickBot="1" x14ac:dyDescent="0.35">
      <c r="C4" s="40" t="s">
        <v>1293</v>
      </c>
      <c r="D4" s="41" t="s">
        <v>1294</v>
      </c>
      <c r="F4" s="42">
        <v>43</v>
      </c>
      <c r="G4" s="43" t="s">
        <v>1295</v>
      </c>
      <c r="H4" s="42">
        <v>54</v>
      </c>
      <c r="I4" s="43" t="s">
        <v>1296</v>
      </c>
      <c r="J4" s="42">
        <v>56</v>
      </c>
      <c r="K4" s="43" t="s">
        <v>1296</v>
      </c>
      <c r="L4" s="44">
        <v>54</v>
      </c>
      <c r="M4" s="43" t="s">
        <v>1296</v>
      </c>
      <c r="N4" s="44">
        <v>42</v>
      </c>
      <c r="O4" s="43" t="s">
        <v>1295</v>
      </c>
      <c r="P4" s="44">
        <v>56</v>
      </c>
      <c r="Q4" s="44">
        <v>52</v>
      </c>
      <c r="R4" s="44">
        <v>357</v>
      </c>
      <c r="S4" s="45">
        <v>0.6</v>
      </c>
      <c r="T4" s="46" t="s">
        <v>1297</v>
      </c>
      <c r="U4" s="47" t="s">
        <v>1298</v>
      </c>
      <c r="V4" s="48" t="s">
        <v>1299</v>
      </c>
    </row>
    <row r="5" spans="1:22" ht="12" customHeight="1" thickTop="1" thickBot="1" x14ac:dyDescent="0.35">
      <c r="C5" s="49" t="s">
        <v>1300</v>
      </c>
      <c r="D5" s="43" t="s">
        <v>1301</v>
      </c>
      <c r="F5" s="44">
        <v>43</v>
      </c>
      <c r="G5" s="43" t="s">
        <v>1295</v>
      </c>
      <c r="H5" s="44">
        <v>50</v>
      </c>
      <c r="I5" s="43" t="s">
        <v>1296</v>
      </c>
      <c r="J5" s="44">
        <v>44</v>
      </c>
      <c r="K5" s="43" t="s">
        <v>1295</v>
      </c>
      <c r="L5" s="44">
        <v>51</v>
      </c>
      <c r="M5" s="43" t="s">
        <v>1296</v>
      </c>
      <c r="N5" s="44">
        <v>46</v>
      </c>
      <c r="O5" s="43" t="s">
        <v>1296</v>
      </c>
      <c r="P5" s="44">
        <v>70</v>
      </c>
      <c r="Q5" s="44">
        <v>48</v>
      </c>
      <c r="R5" s="44">
        <v>352</v>
      </c>
      <c r="S5" s="45">
        <v>0.59</v>
      </c>
      <c r="T5" s="46" t="s">
        <v>1297</v>
      </c>
      <c r="U5" s="47" t="s">
        <v>1298</v>
      </c>
      <c r="V5" s="48" t="s">
        <v>1299</v>
      </c>
    </row>
    <row r="6" spans="1:22" ht="12" customHeight="1" thickTop="1" thickBot="1" x14ac:dyDescent="0.35">
      <c r="C6" s="49" t="s">
        <v>1302</v>
      </c>
      <c r="D6" s="43" t="s">
        <v>1303</v>
      </c>
      <c r="F6" s="44">
        <v>27</v>
      </c>
      <c r="G6" s="43" t="s">
        <v>1295</v>
      </c>
      <c r="H6" s="44">
        <v>58</v>
      </c>
      <c r="I6" s="43" t="s">
        <v>1296</v>
      </c>
      <c r="J6" s="44">
        <v>58</v>
      </c>
      <c r="K6" s="43" t="s">
        <v>1296</v>
      </c>
      <c r="L6" s="44">
        <v>34</v>
      </c>
      <c r="M6" s="43" t="s">
        <v>1295</v>
      </c>
      <c r="N6" s="44">
        <v>66</v>
      </c>
      <c r="O6" s="43" t="s">
        <v>1299</v>
      </c>
      <c r="P6" s="44">
        <v>60</v>
      </c>
      <c r="Q6" s="44">
        <v>42</v>
      </c>
      <c r="R6" s="44">
        <v>345</v>
      </c>
      <c r="S6" s="45">
        <v>0.57999999999999996</v>
      </c>
      <c r="T6" s="46" t="s">
        <v>1297</v>
      </c>
      <c r="U6" s="47" t="s">
        <v>1298</v>
      </c>
      <c r="V6" s="48" t="s">
        <v>1299</v>
      </c>
    </row>
    <row r="7" spans="1:22" ht="12" customHeight="1" thickTop="1" thickBot="1" x14ac:dyDescent="0.35">
      <c r="C7" s="49" t="s">
        <v>1304</v>
      </c>
      <c r="D7" s="43" t="s">
        <v>1305</v>
      </c>
      <c r="F7" s="44">
        <v>37</v>
      </c>
      <c r="G7" s="43" t="s">
        <v>1295</v>
      </c>
      <c r="H7" s="44">
        <v>38</v>
      </c>
      <c r="I7" s="43" t="s">
        <v>1295</v>
      </c>
      <c r="J7" s="44">
        <v>46</v>
      </c>
      <c r="K7" s="43" t="s">
        <v>1296</v>
      </c>
      <c r="L7" s="44">
        <v>60</v>
      </c>
      <c r="M7" s="43" t="s">
        <v>1299</v>
      </c>
      <c r="N7" s="44">
        <v>52</v>
      </c>
      <c r="O7" s="43" t="s">
        <v>1296</v>
      </c>
      <c r="P7" s="44">
        <v>58</v>
      </c>
      <c r="Q7" s="44">
        <v>42</v>
      </c>
      <c r="R7" s="44">
        <v>333</v>
      </c>
      <c r="S7" s="45">
        <v>0.56000000000000005</v>
      </c>
      <c r="T7" s="46" t="s">
        <v>1297</v>
      </c>
      <c r="U7" s="47" t="s">
        <v>1298</v>
      </c>
      <c r="V7" s="48" t="s">
        <v>1299</v>
      </c>
    </row>
    <row r="8" spans="1:22" ht="12" customHeight="1" thickTop="1" thickBot="1" x14ac:dyDescent="0.35">
      <c r="C8" s="49" t="s">
        <v>1306</v>
      </c>
      <c r="D8" s="43" t="s">
        <v>1307</v>
      </c>
      <c r="F8" s="44">
        <v>27</v>
      </c>
      <c r="G8" s="43" t="s">
        <v>1295</v>
      </c>
      <c r="H8" s="44">
        <v>52</v>
      </c>
      <c r="I8" s="43" t="s">
        <v>1296</v>
      </c>
      <c r="J8" s="44">
        <v>54</v>
      </c>
      <c r="K8" s="43" t="s">
        <v>1296</v>
      </c>
      <c r="L8" s="44">
        <v>54</v>
      </c>
      <c r="M8" s="43" t="s">
        <v>1296</v>
      </c>
      <c r="N8" s="44">
        <v>40</v>
      </c>
      <c r="O8" s="43" t="s">
        <v>1295</v>
      </c>
      <c r="P8" s="44">
        <v>46</v>
      </c>
      <c r="Q8" s="44">
        <v>46</v>
      </c>
      <c r="R8" s="44">
        <v>319</v>
      </c>
      <c r="S8" s="45">
        <v>0.53</v>
      </c>
      <c r="T8" s="46" t="s">
        <v>1297</v>
      </c>
      <c r="U8" s="47" t="s">
        <v>1308</v>
      </c>
      <c r="V8" s="48" t="s">
        <v>1296</v>
      </c>
    </row>
    <row r="9" spans="1:22" ht="12" customHeight="1" thickTop="1" thickBot="1" x14ac:dyDescent="0.35">
      <c r="C9" s="49" t="s">
        <v>1309</v>
      </c>
      <c r="D9" s="43" t="s">
        <v>1310</v>
      </c>
      <c r="F9" s="44">
        <v>60</v>
      </c>
      <c r="G9" s="43" t="s">
        <v>1299</v>
      </c>
      <c r="H9" s="44">
        <v>30</v>
      </c>
      <c r="I9" s="43" t="s">
        <v>1295</v>
      </c>
      <c r="J9" s="44">
        <v>42</v>
      </c>
      <c r="K9" s="43" t="s">
        <v>1295</v>
      </c>
      <c r="L9" s="44">
        <v>45</v>
      </c>
      <c r="M9" s="43" t="s">
        <v>1296</v>
      </c>
      <c r="N9" s="44">
        <v>40</v>
      </c>
      <c r="O9" s="43" t="s">
        <v>1295</v>
      </c>
      <c r="P9" s="44">
        <v>40</v>
      </c>
      <c r="Q9" s="44">
        <v>34</v>
      </c>
      <c r="R9" s="44">
        <v>291</v>
      </c>
      <c r="S9" s="45">
        <v>0.49</v>
      </c>
      <c r="T9" s="46" t="s">
        <v>1311</v>
      </c>
      <c r="U9" s="47" t="s">
        <v>1312</v>
      </c>
      <c r="V9" s="48" t="s">
        <v>1296</v>
      </c>
    </row>
    <row r="10" spans="1:22" ht="12" customHeight="1" thickTop="1" thickBot="1" x14ac:dyDescent="0.35">
      <c r="C10" s="49" t="s">
        <v>1313</v>
      </c>
      <c r="D10" s="43" t="s">
        <v>1314</v>
      </c>
      <c r="F10" s="44">
        <v>23</v>
      </c>
      <c r="G10" s="43" t="s">
        <v>1295</v>
      </c>
      <c r="H10" s="44">
        <v>52</v>
      </c>
      <c r="I10" s="43" t="s">
        <v>1296</v>
      </c>
      <c r="J10" s="44">
        <v>58</v>
      </c>
      <c r="K10" s="43" t="s">
        <v>1296</v>
      </c>
      <c r="L10" s="44">
        <v>31</v>
      </c>
      <c r="M10" s="43" t="s">
        <v>1295</v>
      </c>
      <c r="N10" s="44">
        <v>46</v>
      </c>
      <c r="O10" s="43" t="s">
        <v>1296</v>
      </c>
      <c r="P10" s="44">
        <v>38</v>
      </c>
      <c r="Q10" s="44">
        <v>22</v>
      </c>
      <c r="R10" s="44">
        <v>270</v>
      </c>
      <c r="S10" s="45">
        <v>0.45</v>
      </c>
      <c r="T10" s="46" t="s">
        <v>1315</v>
      </c>
      <c r="U10" s="47" t="s">
        <v>1312</v>
      </c>
      <c r="V10" s="48" t="s">
        <v>1296</v>
      </c>
    </row>
    <row r="11" spans="1:22" ht="12" customHeight="1" thickTop="1" thickBot="1" x14ac:dyDescent="0.35">
      <c r="C11" s="49" t="s">
        <v>1316</v>
      </c>
      <c r="D11" s="43" t="s">
        <v>1317</v>
      </c>
      <c r="F11" s="44">
        <v>37</v>
      </c>
      <c r="G11" s="43" t="s">
        <v>1295</v>
      </c>
      <c r="H11" s="44">
        <v>38</v>
      </c>
      <c r="I11" s="43" t="s">
        <v>1295</v>
      </c>
      <c r="J11" s="44">
        <v>32</v>
      </c>
      <c r="K11" s="43" t="s">
        <v>1295</v>
      </c>
      <c r="L11" s="44">
        <v>60</v>
      </c>
      <c r="M11" s="43" t="s">
        <v>1299</v>
      </c>
      <c r="N11" s="44">
        <v>34</v>
      </c>
      <c r="O11" s="43" t="s">
        <v>1295</v>
      </c>
      <c r="P11" s="44">
        <v>36</v>
      </c>
      <c r="Q11" s="44">
        <v>32</v>
      </c>
      <c r="R11" s="44">
        <v>269</v>
      </c>
      <c r="S11" s="45">
        <v>0.45</v>
      </c>
      <c r="T11" s="46" t="s">
        <v>1318</v>
      </c>
      <c r="U11" s="47" t="s">
        <v>1312</v>
      </c>
      <c r="V11" s="48" t="s">
        <v>1296</v>
      </c>
    </row>
    <row r="12" spans="1:22" ht="12" customHeight="1" thickTop="1" thickBot="1" x14ac:dyDescent="0.35">
      <c r="C12" s="49" t="s">
        <v>1319</v>
      </c>
      <c r="D12" s="43" t="s">
        <v>1320</v>
      </c>
      <c r="F12" s="44">
        <v>30</v>
      </c>
      <c r="G12" s="43" t="s">
        <v>1295</v>
      </c>
      <c r="H12" s="44">
        <v>36</v>
      </c>
      <c r="I12" s="43" t="s">
        <v>1295</v>
      </c>
      <c r="J12" s="44">
        <v>28</v>
      </c>
      <c r="K12" s="43" t="s">
        <v>1295</v>
      </c>
      <c r="L12" s="44">
        <v>40</v>
      </c>
      <c r="M12" s="43" t="s">
        <v>1295</v>
      </c>
      <c r="N12" s="44">
        <v>52</v>
      </c>
      <c r="O12" s="43" t="s">
        <v>1296</v>
      </c>
      <c r="P12" s="44">
        <v>40</v>
      </c>
      <c r="Q12" s="44">
        <v>37</v>
      </c>
      <c r="R12" s="44">
        <v>263</v>
      </c>
      <c r="S12" s="45">
        <v>0.44</v>
      </c>
      <c r="T12" s="46" t="s">
        <v>1318</v>
      </c>
      <c r="U12" s="47" t="s">
        <v>1312</v>
      </c>
      <c r="V12" s="48" t="s">
        <v>1295</v>
      </c>
    </row>
    <row r="13" spans="1:22" ht="12" customHeight="1" thickTop="1" thickBot="1" x14ac:dyDescent="0.35">
      <c r="C13" s="49" t="s">
        <v>1321</v>
      </c>
      <c r="D13" s="43" t="s">
        <v>1322</v>
      </c>
      <c r="F13" s="44">
        <v>23</v>
      </c>
      <c r="G13" s="43" t="s">
        <v>1295</v>
      </c>
      <c r="H13" s="44">
        <v>54</v>
      </c>
      <c r="I13" s="43" t="s">
        <v>1296</v>
      </c>
      <c r="J13" s="44">
        <v>44</v>
      </c>
      <c r="K13" s="43" t="s">
        <v>1295</v>
      </c>
      <c r="L13" s="44">
        <v>47</v>
      </c>
      <c r="M13" s="43" t="s">
        <v>1296</v>
      </c>
      <c r="N13" s="44">
        <v>26</v>
      </c>
      <c r="O13" s="43" t="s">
        <v>1295</v>
      </c>
      <c r="P13" s="44">
        <v>38</v>
      </c>
      <c r="Q13" s="44">
        <v>24</v>
      </c>
      <c r="R13" s="44">
        <v>256</v>
      </c>
      <c r="S13" s="45">
        <v>0.43</v>
      </c>
      <c r="T13" s="46" t="s">
        <v>1318</v>
      </c>
      <c r="U13" s="47" t="s">
        <v>1312</v>
      </c>
      <c r="V13" s="48" t="s">
        <v>1295</v>
      </c>
    </row>
    <row r="14" spans="1:22" ht="12" customHeight="1" thickTop="1" x14ac:dyDescent="0.3"/>
  </sheetData>
  <autoFilter ref="C1:E1" xr:uid="{E98CFEF9-E705-4C4A-A640-09168F2B57EB}"/>
  <phoneticPr fontId="3" type="noConversion"/>
  <pageMargins left="0.70866141732283472" right="0.70866141732283472" top="0.74803149606299213" bottom="0.74803149606299213" header="0.31496062992125984" footer="0.31496062992125984"/>
  <pageSetup orientation="portrait" r:id="rId1"/>
  <headerFooter>
    <oddHeader>&amp;CGRADE 1 STUDENTS 2025</oddHeader>
    <oddFooter>&amp;L&amp;B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A4DB-3119-44BD-A642-EBB50B4F3D95}">
  <dimension ref="A1:J74"/>
  <sheetViews>
    <sheetView zoomScale="95" zoomScaleNormal="131" workbookViewId="0">
      <selection activeCell="C14" sqref="C14"/>
    </sheetView>
  </sheetViews>
  <sheetFormatPr defaultRowHeight="14.5" x14ac:dyDescent="0.35"/>
  <cols>
    <col min="1" max="1" width="5.1796875" bestFit="1" customWidth="1"/>
    <col min="2" max="2" width="8.6328125" bestFit="1" customWidth="1"/>
    <col min="3" max="3" width="20.54296875" bestFit="1" customWidth="1"/>
    <col min="4" max="4" width="10.26953125" bestFit="1" customWidth="1"/>
    <col min="5" max="5" width="13.81640625" bestFit="1" customWidth="1"/>
    <col min="6" max="6" width="15.26953125" bestFit="1" customWidth="1"/>
    <col min="7" max="7" width="6.90625" bestFit="1" customWidth="1"/>
    <col min="8" max="8" width="11.453125" bestFit="1" customWidth="1"/>
    <col min="9" max="9" width="16.90625" style="6" bestFit="1" customWidth="1"/>
    <col min="10" max="10" width="20.08984375" bestFit="1" customWidth="1"/>
  </cols>
  <sheetData>
    <row r="1" spans="1:10" ht="14.5" customHeight="1" x14ac:dyDescent="0.35">
      <c r="A1" s="38" t="s">
        <v>929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customHeight="1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4.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 ht="14.5" customHeight="1" x14ac:dyDescent="0.35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0" ht="14.5" customHeight="1" x14ac:dyDescent="0.35">
      <c r="A5" s="38"/>
      <c r="B5" s="38"/>
      <c r="C5" s="38"/>
      <c r="D5" s="38"/>
      <c r="E5" s="38"/>
      <c r="F5" s="38"/>
      <c r="G5" s="38"/>
      <c r="H5" s="38"/>
      <c r="I5" s="38"/>
      <c r="J5" s="38"/>
    </row>
    <row r="6" spans="1:10" ht="14.5" customHeight="1" x14ac:dyDescent="0.35">
      <c r="A6" s="38"/>
      <c r="B6" s="38"/>
      <c r="C6" s="38"/>
      <c r="D6" s="38"/>
      <c r="E6" s="38"/>
      <c r="F6" s="38"/>
      <c r="G6" s="38"/>
      <c r="H6" s="38"/>
      <c r="I6" s="38"/>
      <c r="J6" s="38"/>
    </row>
    <row r="7" spans="1:10" ht="14.5" customHeight="1" x14ac:dyDescent="0.35">
      <c r="A7" s="38"/>
      <c r="B7" s="38"/>
      <c r="C7" s="38"/>
      <c r="D7" s="38"/>
      <c r="E7" s="38"/>
      <c r="F7" s="38"/>
      <c r="G7" s="38"/>
      <c r="H7" s="38"/>
      <c r="I7" s="38"/>
      <c r="J7" s="38"/>
    </row>
    <row r="8" spans="1:10" ht="14.5" customHeight="1" x14ac:dyDescent="0.35">
      <c r="A8" s="38"/>
      <c r="B8" s="38"/>
      <c r="C8" s="38"/>
      <c r="D8" s="38"/>
      <c r="E8" s="38"/>
      <c r="F8" s="38"/>
      <c r="G8" s="38"/>
      <c r="H8" s="38"/>
      <c r="I8" s="38"/>
      <c r="J8" s="38"/>
    </row>
    <row r="9" spans="1:10" ht="14.5" customHeight="1" x14ac:dyDescent="0.35">
      <c r="A9" s="38"/>
      <c r="B9" s="38"/>
      <c r="C9" s="38"/>
      <c r="D9" s="38"/>
      <c r="E9" s="38"/>
      <c r="F9" s="38"/>
      <c r="G9" s="38"/>
      <c r="H9" s="38"/>
      <c r="I9" s="38"/>
      <c r="J9" s="38"/>
    </row>
    <row r="10" spans="1:10" ht="14.5" customHeight="1" x14ac:dyDescent="0.35">
      <c r="A10" s="38"/>
      <c r="B10" s="38"/>
      <c r="C10" s="38"/>
      <c r="D10" s="38"/>
      <c r="E10" s="38"/>
      <c r="F10" s="38"/>
      <c r="G10" s="38"/>
      <c r="H10" s="38"/>
      <c r="I10" s="38"/>
      <c r="J10" s="38"/>
    </row>
    <row r="11" spans="1:10" ht="14.5" customHeight="1" x14ac:dyDescent="0.35">
      <c r="A11" s="38"/>
      <c r="B11" s="38"/>
      <c r="C11" s="38"/>
      <c r="D11" s="38"/>
      <c r="E11" s="38"/>
      <c r="F11" s="38"/>
      <c r="G11" s="38"/>
      <c r="H11" s="38"/>
      <c r="I11" s="38"/>
      <c r="J11" s="38"/>
    </row>
    <row r="12" spans="1:10" ht="14.5" customHeight="1" x14ac:dyDescent="0.35">
      <c r="A12" s="38"/>
      <c r="B12" s="38"/>
      <c r="C12" s="38"/>
      <c r="D12" s="38"/>
      <c r="E12" s="38"/>
      <c r="F12" s="38"/>
      <c r="G12" s="38"/>
      <c r="H12" s="38"/>
      <c r="I12" s="38"/>
      <c r="J12" s="38"/>
    </row>
    <row r="13" spans="1:10" ht="14.5" customHeight="1" x14ac:dyDescent="0.35">
      <c r="A13" s="38"/>
      <c r="B13" s="38"/>
      <c r="C13" s="38"/>
      <c r="D13" s="38"/>
      <c r="E13" s="38"/>
      <c r="F13" s="38"/>
      <c r="G13" s="38"/>
      <c r="H13" s="38"/>
      <c r="I13" s="38"/>
      <c r="J13" s="38"/>
    </row>
    <row r="14" spans="1:10" s="5" customFormat="1" x14ac:dyDescent="0.35">
      <c r="A14" s="10" t="s">
        <v>930</v>
      </c>
      <c r="B14" s="2" t="s">
        <v>378</v>
      </c>
      <c r="C14" s="2" t="s">
        <v>493</v>
      </c>
      <c r="D14" s="2" t="s">
        <v>385</v>
      </c>
      <c r="E14" s="2" t="s">
        <v>384</v>
      </c>
      <c r="F14" s="2" t="s">
        <v>931</v>
      </c>
      <c r="G14" s="2" t="s">
        <v>0</v>
      </c>
      <c r="H14" s="2" t="s">
        <v>1</v>
      </c>
      <c r="I14" s="14" t="s">
        <v>932</v>
      </c>
      <c r="J14" s="9" t="s">
        <v>933</v>
      </c>
    </row>
    <row r="15" spans="1:10" x14ac:dyDescent="0.35">
      <c r="A15" cm="1">
        <f t="array" ref="A15:A74">_xlfn.SEQUENCE(60)</f>
        <v>1</v>
      </c>
      <c r="B15" t="s">
        <v>3</v>
      </c>
      <c r="C15" s="13" t="s">
        <v>1231</v>
      </c>
      <c r="D15" s="25" t="s">
        <v>386</v>
      </c>
      <c r="E15" t="s">
        <v>387</v>
      </c>
      <c r="F15" t="s">
        <v>388</v>
      </c>
      <c r="G15" t="s">
        <v>381</v>
      </c>
      <c r="H15" s="3">
        <v>43476</v>
      </c>
      <c r="I15" s="6">
        <v>431724120</v>
      </c>
      <c r="J15" t="s">
        <v>2</v>
      </c>
    </row>
    <row r="16" spans="1:10" x14ac:dyDescent="0.35">
      <c r="A16">
        <v>2</v>
      </c>
      <c r="B16" t="s">
        <v>4</v>
      </c>
      <c r="C16" s="13" t="s">
        <v>1232</v>
      </c>
      <c r="D16" s="25" t="s">
        <v>389</v>
      </c>
      <c r="E16" t="s">
        <v>390</v>
      </c>
      <c r="F16" t="s">
        <v>379</v>
      </c>
      <c r="G16" t="s">
        <v>380</v>
      </c>
      <c r="H16" s="3">
        <v>40561</v>
      </c>
      <c r="I16" s="6">
        <v>432000417</v>
      </c>
      <c r="J16" t="s">
        <v>2</v>
      </c>
    </row>
    <row r="17" spans="1:10" x14ac:dyDescent="0.35">
      <c r="A17">
        <v>3</v>
      </c>
      <c r="B17" t="s">
        <v>5</v>
      </c>
      <c r="C17" s="13" t="s">
        <v>1233</v>
      </c>
      <c r="D17" s="25" t="s">
        <v>391</v>
      </c>
      <c r="E17" t="s">
        <v>392</v>
      </c>
      <c r="F17" t="s">
        <v>393</v>
      </c>
      <c r="G17" t="s">
        <v>381</v>
      </c>
      <c r="H17" s="3">
        <v>41386</v>
      </c>
      <c r="I17" s="6">
        <v>431629656</v>
      </c>
      <c r="J17" t="s">
        <v>2</v>
      </c>
    </row>
    <row r="18" spans="1:10" x14ac:dyDescent="0.35">
      <c r="A18">
        <v>4</v>
      </c>
      <c r="B18" t="s">
        <v>6</v>
      </c>
      <c r="C18" s="13" t="s">
        <v>1234</v>
      </c>
      <c r="D18" s="25" t="s">
        <v>394</v>
      </c>
      <c r="E18" t="s">
        <v>395</v>
      </c>
      <c r="F18" t="s">
        <v>396</v>
      </c>
      <c r="G18" t="s">
        <v>381</v>
      </c>
      <c r="H18" s="3">
        <v>38753</v>
      </c>
      <c r="I18" s="6">
        <v>431744474</v>
      </c>
      <c r="J18" t="s">
        <v>2</v>
      </c>
    </row>
    <row r="19" spans="1:10" x14ac:dyDescent="0.35">
      <c r="A19">
        <v>5</v>
      </c>
      <c r="B19" t="s">
        <v>7</v>
      </c>
      <c r="C19" s="13" t="s">
        <v>1235</v>
      </c>
      <c r="D19" s="25" t="s">
        <v>397</v>
      </c>
      <c r="E19" t="s">
        <v>398</v>
      </c>
      <c r="F19" t="s">
        <v>379</v>
      </c>
      <c r="G19" t="s">
        <v>380</v>
      </c>
      <c r="H19" s="3">
        <v>40803</v>
      </c>
      <c r="I19" s="6" t="s">
        <v>8</v>
      </c>
      <c r="J19" t="s">
        <v>2</v>
      </c>
    </row>
    <row r="20" spans="1:10" x14ac:dyDescent="0.35">
      <c r="A20">
        <v>6</v>
      </c>
      <c r="B20" t="s">
        <v>9</v>
      </c>
      <c r="C20" s="13" t="s">
        <v>1236</v>
      </c>
      <c r="D20" s="25" t="s">
        <v>399</v>
      </c>
      <c r="E20" t="s">
        <v>400</v>
      </c>
      <c r="F20" t="s">
        <v>401</v>
      </c>
      <c r="G20" t="s">
        <v>381</v>
      </c>
      <c r="H20" s="3">
        <v>40390</v>
      </c>
      <c r="I20" s="6" t="s">
        <v>10</v>
      </c>
      <c r="J20" t="s">
        <v>2</v>
      </c>
    </row>
    <row r="21" spans="1:10" x14ac:dyDescent="0.35">
      <c r="A21">
        <v>7</v>
      </c>
      <c r="B21" t="s">
        <v>11</v>
      </c>
      <c r="C21" s="13" t="s">
        <v>1237</v>
      </c>
      <c r="D21" s="25" t="s">
        <v>402</v>
      </c>
      <c r="E21" t="s">
        <v>403</v>
      </c>
      <c r="F21" t="s">
        <v>404</v>
      </c>
      <c r="G21" t="s">
        <v>381</v>
      </c>
      <c r="H21" s="3">
        <v>41746</v>
      </c>
      <c r="I21" s="6">
        <v>431846218</v>
      </c>
      <c r="J21" t="s">
        <v>2</v>
      </c>
    </row>
    <row r="22" spans="1:10" x14ac:dyDescent="0.35">
      <c r="A22">
        <v>8</v>
      </c>
      <c r="B22" t="s">
        <v>12</v>
      </c>
      <c r="C22" s="13" t="s">
        <v>1238</v>
      </c>
      <c r="D22" s="25" t="s">
        <v>402</v>
      </c>
      <c r="E22" t="s">
        <v>405</v>
      </c>
      <c r="F22" t="s">
        <v>406</v>
      </c>
      <c r="G22" t="s">
        <v>381</v>
      </c>
      <c r="H22" s="3">
        <v>41482</v>
      </c>
      <c r="I22" s="6">
        <v>431846217</v>
      </c>
      <c r="J22" t="s">
        <v>2</v>
      </c>
    </row>
    <row r="23" spans="1:10" x14ac:dyDescent="0.35">
      <c r="A23">
        <v>9</v>
      </c>
      <c r="B23" t="s">
        <v>13</v>
      </c>
      <c r="C23" s="13" t="s">
        <v>1239</v>
      </c>
      <c r="D23" s="25" t="s">
        <v>407</v>
      </c>
      <c r="E23" t="s">
        <v>408</v>
      </c>
      <c r="F23" t="s">
        <v>409</v>
      </c>
      <c r="G23" t="s">
        <v>381</v>
      </c>
      <c r="H23" s="3">
        <v>42981</v>
      </c>
      <c r="I23" s="6">
        <v>791795710</v>
      </c>
      <c r="J23" t="s">
        <v>2</v>
      </c>
    </row>
    <row r="24" spans="1:10" x14ac:dyDescent="0.35">
      <c r="A24">
        <v>10</v>
      </c>
      <c r="B24" t="s">
        <v>14</v>
      </c>
      <c r="C24" s="13" t="s">
        <v>1240</v>
      </c>
      <c r="D24" s="25" t="s">
        <v>410</v>
      </c>
      <c r="E24" t="s">
        <v>411</v>
      </c>
      <c r="F24" t="s">
        <v>401</v>
      </c>
      <c r="G24" t="s">
        <v>381</v>
      </c>
      <c r="H24" s="3">
        <v>40431</v>
      </c>
      <c r="I24" s="6">
        <v>431983603</v>
      </c>
      <c r="J24" t="s">
        <v>2</v>
      </c>
    </row>
    <row r="25" spans="1:10" x14ac:dyDescent="0.35">
      <c r="A25">
        <v>11</v>
      </c>
      <c r="B25" t="s">
        <v>15</v>
      </c>
      <c r="C25" s="13" t="s">
        <v>1241</v>
      </c>
      <c r="D25" s="25" t="s">
        <v>412</v>
      </c>
      <c r="E25" t="s">
        <v>413</v>
      </c>
      <c r="F25" t="s">
        <v>414</v>
      </c>
      <c r="G25" t="s">
        <v>380</v>
      </c>
      <c r="H25" s="3">
        <v>40576</v>
      </c>
      <c r="I25" s="6" t="s">
        <v>16</v>
      </c>
      <c r="J25" t="s">
        <v>2</v>
      </c>
    </row>
    <row r="26" spans="1:10" x14ac:dyDescent="0.35">
      <c r="A26">
        <v>12</v>
      </c>
      <c r="B26" t="s">
        <v>17</v>
      </c>
      <c r="C26" s="13" t="s">
        <v>1242</v>
      </c>
      <c r="D26" s="25" t="s">
        <v>412</v>
      </c>
      <c r="E26" t="s">
        <v>415</v>
      </c>
      <c r="F26" t="s">
        <v>416</v>
      </c>
      <c r="G26" t="s">
        <v>380</v>
      </c>
      <c r="H26" s="3">
        <v>43184</v>
      </c>
      <c r="I26" s="6">
        <v>431700563</v>
      </c>
      <c r="J26" t="s">
        <v>2</v>
      </c>
    </row>
    <row r="27" spans="1:10" x14ac:dyDescent="0.35">
      <c r="A27">
        <v>13</v>
      </c>
      <c r="B27" t="s">
        <v>18</v>
      </c>
      <c r="C27" s="13" t="s">
        <v>1243</v>
      </c>
      <c r="D27" s="25" t="s">
        <v>417</v>
      </c>
      <c r="E27" t="s">
        <v>418</v>
      </c>
      <c r="F27" t="s">
        <v>379</v>
      </c>
      <c r="G27" t="s">
        <v>380</v>
      </c>
      <c r="H27" s="3">
        <v>43184</v>
      </c>
      <c r="I27" s="6">
        <v>431863673</v>
      </c>
      <c r="J27" t="s">
        <v>2</v>
      </c>
    </row>
    <row r="28" spans="1:10" x14ac:dyDescent="0.35">
      <c r="A28">
        <v>14</v>
      </c>
      <c r="B28" t="s">
        <v>19</v>
      </c>
      <c r="C28" s="13" t="s">
        <v>1244</v>
      </c>
      <c r="D28" s="25" t="s">
        <v>419</v>
      </c>
      <c r="E28" t="s">
        <v>420</v>
      </c>
      <c r="F28" t="s">
        <v>421</v>
      </c>
      <c r="G28" t="s">
        <v>380</v>
      </c>
      <c r="H28" s="3">
        <v>43194</v>
      </c>
      <c r="I28" s="6">
        <v>431863692</v>
      </c>
      <c r="J28" t="s">
        <v>2</v>
      </c>
    </row>
    <row r="29" spans="1:10" x14ac:dyDescent="0.35">
      <c r="A29">
        <v>15</v>
      </c>
      <c r="B29" t="s">
        <v>20</v>
      </c>
      <c r="C29" s="13" t="s">
        <v>1245</v>
      </c>
      <c r="D29" t="s">
        <v>419</v>
      </c>
      <c r="E29" t="s">
        <v>422</v>
      </c>
      <c r="F29" t="s">
        <v>423</v>
      </c>
      <c r="G29" t="s">
        <v>381</v>
      </c>
      <c r="H29" s="3">
        <v>38903</v>
      </c>
      <c r="I29" s="6">
        <v>431957338</v>
      </c>
      <c r="J29" t="s">
        <v>2</v>
      </c>
    </row>
    <row r="30" spans="1:10" x14ac:dyDescent="0.35">
      <c r="A30">
        <v>16</v>
      </c>
      <c r="B30" t="s">
        <v>21</v>
      </c>
      <c r="C30" s="13" t="s">
        <v>1246</v>
      </c>
      <c r="D30" t="s">
        <v>424</v>
      </c>
      <c r="E30" t="s">
        <v>425</v>
      </c>
      <c r="F30" t="s">
        <v>426</v>
      </c>
      <c r="G30" t="s">
        <v>381</v>
      </c>
      <c r="H30" s="3">
        <v>43184</v>
      </c>
      <c r="I30" s="6">
        <v>431836226</v>
      </c>
      <c r="J30" t="s">
        <v>2</v>
      </c>
    </row>
    <row r="31" spans="1:10" x14ac:dyDescent="0.35">
      <c r="A31">
        <v>17</v>
      </c>
      <c r="B31" t="s">
        <v>22</v>
      </c>
      <c r="C31" s="13" t="s">
        <v>1247</v>
      </c>
      <c r="D31" t="s">
        <v>427</v>
      </c>
      <c r="E31" t="s">
        <v>428</v>
      </c>
      <c r="F31" t="s">
        <v>429</v>
      </c>
      <c r="G31" t="s">
        <v>380</v>
      </c>
      <c r="H31" s="3">
        <v>43181</v>
      </c>
      <c r="I31" s="6">
        <v>431863680</v>
      </c>
      <c r="J31" t="s">
        <v>2</v>
      </c>
    </row>
    <row r="32" spans="1:10" x14ac:dyDescent="0.35">
      <c r="A32">
        <v>18</v>
      </c>
      <c r="B32" t="s">
        <v>23</v>
      </c>
      <c r="C32" s="13" t="s">
        <v>1248</v>
      </c>
      <c r="D32" t="s">
        <v>427</v>
      </c>
      <c r="E32" t="s">
        <v>430</v>
      </c>
      <c r="F32" t="s">
        <v>431</v>
      </c>
      <c r="G32" t="s">
        <v>380</v>
      </c>
      <c r="H32" s="3">
        <v>40337</v>
      </c>
      <c r="I32" s="6" t="s">
        <v>24</v>
      </c>
      <c r="J32" t="s">
        <v>2</v>
      </c>
    </row>
    <row r="33" spans="1:10" x14ac:dyDescent="0.35">
      <c r="A33">
        <v>19</v>
      </c>
      <c r="B33" t="s">
        <v>25</v>
      </c>
      <c r="C33" s="13" t="s">
        <v>1249</v>
      </c>
      <c r="D33" t="s">
        <v>427</v>
      </c>
      <c r="E33" t="s">
        <v>432</v>
      </c>
      <c r="F33" t="s">
        <v>414</v>
      </c>
      <c r="G33" t="s">
        <v>380</v>
      </c>
      <c r="H33" s="3">
        <v>40293</v>
      </c>
      <c r="I33" s="6" t="s">
        <v>26</v>
      </c>
      <c r="J33" t="s">
        <v>2</v>
      </c>
    </row>
    <row r="34" spans="1:10" x14ac:dyDescent="0.35">
      <c r="A34">
        <v>20</v>
      </c>
      <c r="B34" t="s">
        <v>27</v>
      </c>
      <c r="C34" s="13" t="s">
        <v>1250</v>
      </c>
      <c r="D34" t="s">
        <v>427</v>
      </c>
      <c r="E34" t="s">
        <v>433</v>
      </c>
      <c r="F34" t="s">
        <v>434</v>
      </c>
      <c r="G34" t="s">
        <v>380</v>
      </c>
      <c r="H34" s="3">
        <v>43003</v>
      </c>
      <c r="I34" s="6">
        <v>431721312</v>
      </c>
      <c r="J34" t="s">
        <v>2</v>
      </c>
    </row>
    <row r="35" spans="1:10" x14ac:dyDescent="0.35">
      <c r="A35">
        <v>21</v>
      </c>
      <c r="B35" t="s">
        <v>28</v>
      </c>
      <c r="C35" s="13" t="s">
        <v>1251</v>
      </c>
      <c r="D35" t="s">
        <v>435</v>
      </c>
      <c r="E35" t="s">
        <v>436</v>
      </c>
      <c r="F35" t="s">
        <v>437</v>
      </c>
      <c r="G35" t="s">
        <v>381</v>
      </c>
      <c r="H35" s="3">
        <v>41833</v>
      </c>
      <c r="I35" s="6">
        <v>602108169</v>
      </c>
      <c r="J35" t="s">
        <v>2</v>
      </c>
    </row>
    <row r="36" spans="1:10" x14ac:dyDescent="0.35">
      <c r="A36">
        <v>22</v>
      </c>
      <c r="B36" t="s">
        <v>29</v>
      </c>
      <c r="C36" s="13" t="s">
        <v>1252</v>
      </c>
      <c r="D36" t="s">
        <v>438</v>
      </c>
      <c r="E36" t="s">
        <v>375</v>
      </c>
      <c r="F36" t="s">
        <v>416</v>
      </c>
      <c r="G36" t="s">
        <v>381</v>
      </c>
      <c r="H36" s="3">
        <v>41431</v>
      </c>
      <c r="I36" s="6">
        <v>431315285</v>
      </c>
      <c r="J36" t="s">
        <v>2</v>
      </c>
    </row>
    <row r="37" spans="1:10" x14ac:dyDescent="0.35">
      <c r="A37">
        <v>23</v>
      </c>
      <c r="B37" t="s">
        <v>30</v>
      </c>
      <c r="C37" s="13" t="s">
        <v>1253</v>
      </c>
      <c r="D37" t="s">
        <v>438</v>
      </c>
      <c r="E37" t="s">
        <v>375</v>
      </c>
      <c r="F37" t="s">
        <v>416</v>
      </c>
      <c r="G37" t="s">
        <v>380</v>
      </c>
      <c r="H37" s="3">
        <v>41431</v>
      </c>
      <c r="I37" s="6">
        <v>431315285</v>
      </c>
      <c r="J37" t="s">
        <v>2</v>
      </c>
    </row>
    <row r="38" spans="1:10" x14ac:dyDescent="0.35">
      <c r="A38">
        <v>24</v>
      </c>
      <c r="B38" t="s">
        <v>31</v>
      </c>
      <c r="C38" s="13" t="s">
        <v>1254</v>
      </c>
      <c r="D38" t="s">
        <v>439</v>
      </c>
      <c r="E38" t="s">
        <v>408</v>
      </c>
      <c r="F38" t="s">
        <v>440</v>
      </c>
      <c r="G38" t="s">
        <v>381</v>
      </c>
      <c r="H38" s="3">
        <v>42758</v>
      </c>
      <c r="I38" s="6">
        <v>43198486</v>
      </c>
      <c r="J38" t="s">
        <v>2</v>
      </c>
    </row>
    <row r="39" spans="1:10" x14ac:dyDescent="0.35">
      <c r="A39">
        <v>25</v>
      </c>
      <c r="B39" t="s">
        <v>32</v>
      </c>
      <c r="C39" s="13" t="s">
        <v>1255</v>
      </c>
      <c r="D39" t="s">
        <v>441</v>
      </c>
      <c r="E39" t="s">
        <v>442</v>
      </c>
      <c r="F39" t="s">
        <v>443</v>
      </c>
      <c r="G39" t="s">
        <v>380</v>
      </c>
      <c r="H39" s="3">
        <v>40389</v>
      </c>
      <c r="I39" s="6">
        <v>431609567</v>
      </c>
      <c r="J39" t="s">
        <v>2</v>
      </c>
    </row>
    <row r="40" spans="1:10" x14ac:dyDescent="0.35">
      <c r="A40">
        <v>26</v>
      </c>
      <c r="B40" t="s">
        <v>33</v>
      </c>
      <c r="C40" s="13" t="s">
        <v>1256</v>
      </c>
      <c r="D40" t="s">
        <v>444</v>
      </c>
      <c r="E40" t="s">
        <v>445</v>
      </c>
      <c r="F40" t="s">
        <v>446</v>
      </c>
      <c r="G40" t="s">
        <v>381</v>
      </c>
      <c r="H40" s="3">
        <v>43184</v>
      </c>
      <c r="I40" s="6">
        <v>431537466</v>
      </c>
      <c r="J40" t="s">
        <v>2</v>
      </c>
    </row>
    <row r="41" spans="1:10" x14ac:dyDescent="0.35">
      <c r="A41">
        <v>27</v>
      </c>
      <c r="B41" t="s">
        <v>34</v>
      </c>
      <c r="C41" s="13" t="s">
        <v>1257</v>
      </c>
      <c r="D41" t="s">
        <v>447</v>
      </c>
      <c r="E41" t="s">
        <v>432</v>
      </c>
      <c r="F41" t="s">
        <v>448</v>
      </c>
      <c r="G41" t="s">
        <v>380</v>
      </c>
      <c r="H41" s="3">
        <v>40080</v>
      </c>
      <c r="I41" s="6">
        <v>501862443</v>
      </c>
      <c r="J41" t="s">
        <v>2</v>
      </c>
    </row>
    <row r="42" spans="1:10" x14ac:dyDescent="0.35">
      <c r="A42">
        <v>28</v>
      </c>
      <c r="B42" t="s">
        <v>35</v>
      </c>
      <c r="C42" s="13" t="s">
        <v>1258</v>
      </c>
      <c r="D42" t="s">
        <v>449</v>
      </c>
      <c r="E42" t="s">
        <v>450</v>
      </c>
      <c r="F42" t="s">
        <v>423</v>
      </c>
      <c r="G42" t="s">
        <v>381</v>
      </c>
      <c r="H42" s="3">
        <v>39211</v>
      </c>
      <c r="I42" s="6">
        <v>431520484</v>
      </c>
      <c r="J42" t="s">
        <v>2</v>
      </c>
    </row>
    <row r="43" spans="1:10" x14ac:dyDescent="0.35">
      <c r="A43">
        <v>29</v>
      </c>
      <c r="B43" t="s">
        <v>36</v>
      </c>
      <c r="C43" s="13" t="s">
        <v>1259</v>
      </c>
      <c r="D43" t="s">
        <v>451</v>
      </c>
      <c r="E43" t="s">
        <v>452</v>
      </c>
      <c r="F43" t="s">
        <v>421</v>
      </c>
      <c r="G43" t="s">
        <v>380</v>
      </c>
      <c r="H43" s="3">
        <v>43184</v>
      </c>
      <c r="I43" s="6">
        <v>431863655</v>
      </c>
      <c r="J43" t="s">
        <v>2</v>
      </c>
    </row>
    <row r="44" spans="1:10" x14ac:dyDescent="0.35">
      <c r="A44">
        <v>30</v>
      </c>
      <c r="B44" t="s">
        <v>37</v>
      </c>
      <c r="C44" s="13" t="s">
        <v>1260</v>
      </c>
      <c r="D44" t="s">
        <v>453</v>
      </c>
      <c r="E44" t="s">
        <v>454</v>
      </c>
      <c r="F44" t="s">
        <v>455</v>
      </c>
      <c r="G44" t="s">
        <v>380</v>
      </c>
      <c r="H44" s="3">
        <v>40522</v>
      </c>
      <c r="I44" s="6" t="s">
        <v>38</v>
      </c>
      <c r="J44" t="s">
        <v>2</v>
      </c>
    </row>
    <row r="45" spans="1:10" x14ac:dyDescent="0.35">
      <c r="A45">
        <v>31</v>
      </c>
      <c r="B45" t="s">
        <v>39</v>
      </c>
      <c r="C45" s="13" t="s">
        <v>1261</v>
      </c>
      <c r="D45" t="s">
        <v>456</v>
      </c>
      <c r="E45" t="s">
        <v>457</v>
      </c>
      <c r="F45" t="s">
        <v>458</v>
      </c>
      <c r="G45" t="s">
        <v>381</v>
      </c>
      <c r="H45" s="3">
        <v>40008</v>
      </c>
      <c r="I45" s="6">
        <v>360904747</v>
      </c>
      <c r="J45" t="s">
        <v>2</v>
      </c>
    </row>
    <row r="46" spans="1:10" x14ac:dyDescent="0.35">
      <c r="A46">
        <v>32</v>
      </c>
      <c r="B46" t="s">
        <v>40</v>
      </c>
      <c r="C46" s="13" t="s">
        <v>1262</v>
      </c>
      <c r="D46" t="s">
        <v>459</v>
      </c>
      <c r="E46" t="s">
        <v>460</v>
      </c>
      <c r="F46" t="s">
        <v>379</v>
      </c>
      <c r="G46" t="s">
        <v>380</v>
      </c>
      <c r="H46" s="3">
        <v>43181</v>
      </c>
      <c r="I46" s="6">
        <v>431444546</v>
      </c>
      <c r="J46" t="s">
        <v>2</v>
      </c>
    </row>
    <row r="47" spans="1:10" x14ac:dyDescent="0.35">
      <c r="A47">
        <v>33</v>
      </c>
      <c r="B47" t="s">
        <v>41</v>
      </c>
      <c r="C47" s="13" t="s">
        <v>1263</v>
      </c>
      <c r="D47" t="s">
        <v>461</v>
      </c>
      <c r="E47" t="s">
        <v>462</v>
      </c>
      <c r="F47" t="s">
        <v>416</v>
      </c>
      <c r="G47" t="s">
        <v>380</v>
      </c>
      <c r="H47" s="3">
        <v>43436</v>
      </c>
      <c r="I47" s="6">
        <v>432307019</v>
      </c>
      <c r="J47" t="s">
        <v>2</v>
      </c>
    </row>
    <row r="48" spans="1:10" x14ac:dyDescent="0.35">
      <c r="A48">
        <v>34</v>
      </c>
      <c r="B48" t="s">
        <v>42</v>
      </c>
      <c r="C48" s="13" t="s">
        <v>1264</v>
      </c>
      <c r="D48" t="s">
        <v>461</v>
      </c>
      <c r="E48" t="s">
        <v>463</v>
      </c>
      <c r="F48" t="s">
        <v>464</v>
      </c>
      <c r="G48" t="s">
        <v>381</v>
      </c>
      <c r="H48" s="3">
        <v>40804</v>
      </c>
      <c r="I48" s="6">
        <v>43110715</v>
      </c>
      <c r="J48" t="s">
        <v>2</v>
      </c>
    </row>
    <row r="49" spans="1:10" x14ac:dyDescent="0.35">
      <c r="A49">
        <v>35</v>
      </c>
      <c r="B49" t="s">
        <v>43</v>
      </c>
      <c r="C49" s="13" t="s">
        <v>1265</v>
      </c>
      <c r="D49" t="s">
        <v>465</v>
      </c>
      <c r="E49" t="s">
        <v>466</v>
      </c>
      <c r="F49" t="s">
        <v>467</v>
      </c>
      <c r="G49" t="s">
        <v>380</v>
      </c>
      <c r="H49" s="3">
        <v>43202</v>
      </c>
      <c r="I49" s="6">
        <v>431134242</v>
      </c>
      <c r="J49" t="s">
        <v>2</v>
      </c>
    </row>
    <row r="50" spans="1:10" x14ac:dyDescent="0.35">
      <c r="A50">
        <v>36</v>
      </c>
      <c r="B50" t="s">
        <v>44</v>
      </c>
      <c r="C50" s="13" t="s">
        <v>1266</v>
      </c>
      <c r="D50" t="s">
        <v>376</v>
      </c>
      <c r="E50" t="s">
        <v>468</v>
      </c>
      <c r="F50" t="s">
        <v>469</v>
      </c>
      <c r="G50" t="s">
        <v>380</v>
      </c>
      <c r="H50" s="3">
        <v>39625</v>
      </c>
      <c r="I50" s="6">
        <v>431622494</v>
      </c>
      <c r="J50" t="s">
        <v>2</v>
      </c>
    </row>
    <row r="51" spans="1:10" x14ac:dyDescent="0.35">
      <c r="A51">
        <v>37</v>
      </c>
      <c r="B51" t="s">
        <v>45</v>
      </c>
      <c r="C51" s="13" t="s">
        <v>1267</v>
      </c>
      <c r="D51" t="s">
        <v>376</v>
      </c>
      <c r="E51" t="s">
        <v>470</v>
      </c>
      <c r="F51" t="s">
        <v>379</v>
      </c>
      <c r="G51" t="s">
        <v>381</v>
      </c>
      <c r="H51" s="3">
        <v>42016</v>
      </c>
      <c r="I51" s="6">
        <v>31502379</v>
      </c>
      <c r="J51" t="s">
        <v>2</v>
      </c>
    </row>
    <row r="52" spans="1:10" x14ac:dyDescent="0.35">
      <c r="A52">
        <v>38</v>
      </c>
      <c r="B52" t="s">
        <v>46</v>
      </c>
      <c r="C52" s="13" t="s">
        <v>1268</v>
      </c>
      <c r="D52" t="s">
        <v>376</v>
      </c>
      <c r="E52" t="s">
        <v>471</v>
      </c>
      <c r="F52" t="s">
        <v>440</v>
      </c>
      <c r="G52" t="s">
        <v>381</v>
      </c>
      <c r="H52" s="3">
        <v>42262</v>
      </c>
      <c r="I52" s="6">
        <v>432103662</v>
      </c>
      <c r="J52" t="s">
        <v>2</v>
      </c>
    </row>
    <row r="53" spans="1:10" x14ac:dyDescent="0.35">
      <c r="A53">
        <v>39</v>
      </c>
      <c r="B53" t="s">
        <v>47</v>
      </c>
      <c r="C53" s="13" t="s">
        <v>1269</v>
      </c>
      <c r="D53" t="s">
        <v>376</v>
      </c>
      <c r="E53" t="s">
        <v>472</v>
      </c>
      <c r="F53" t="s">
        <v>379</v>
      </c>
      <c r="G53" t="s">
        <v>380</v>
      </c>
      <c r="H53" s="3">
        <v>42848</v>
      </c>
      <c r="I53" s="6">
        <v>432119434</v>
      </c>
      <c r="J53" t="s">
        <v>2</v>
      </c>
    </row>
    <row r="54" spans="1:10" x14ac:dyDescent="0.35">
      <c r="A54">
        <v>40</v>
      </c>
      <c r="B54" t="s">
        <v>48</v>
      </c>
      <c r="C54" s="13" t="s">
        <v>1270</v>
      </c>
      <c r="D54" t="s">
        <v>376</v>
      </c>
      <c r="E54" t="s">
        <v>473</v>
      </c>
      <c r="F54" t="s">
        <v>388</v>
      </c>
      <c r="G54" t="s">
        <v>381</v>
      </c>
      <c r="H54" s="3">
        <v>43184</v>
      </c>
      <c r="I54" s="6">
        <v>431863733</v>
      </c>
      <c r="J54" t="s">
        <v>2</v>
      </c>
    </row>
    <row r="55" spans="1:10" x14ac:dyDescent="0.35">
      <c r="A55">
        <v>41</v>
      </c>
      <c r="B55" t="s">
        <v>49</v>
      </c>
      <c r="C55" s="13" t="s">
        <v>1271</v>
      </c>
      <c r="D55" t="s">
        <v>376</v>
      </c>
      <c r="E55" t="s">
        <v>474</v>
      </c>
      <c r="F55" t="s">
        <v>423</v>
      </c>
      <c r="G55" t="s">
        <v>381</v>
      </c>
      <c r="H55" s="3">
        <v>43201</v>
      </c>
      <c r="I55" s="6">
        <v>431842231</v>
      </c>
      <c r="J55" t="s">
        <v>2</v>
      </c>
    </row>
    <row r="56" spans="1:10" x14ac:dyDescent="0.35">
      <c r="A56">
        <v>42</v>
      </c>
      <c r="B56" t="s">
        <v>50</v>
      </c>
      <c r="C56" s="13" t="s">
        <v>1272</v>
      </c>
      <c r="D56" t="s">
        <v>376</v>
      </c>
      <c r="E56" t="s">
        <v>475</v>
      </c>
      <c r="F56" t="s">
        <v>476</v>
      </c>
      <c r="G56" t="s">
        <v>380</v>
      </c>
      <c r="H56" s="3">
        <v>42886</v>
      </c>
      <c r="I56" s="6">
        <v>431983382</v>
      </c>
      <c r="J56" t="s">
        <v>2</v>
      </c>
    </row>
    <row r="57" spans="1:10" x14ac:dyDescent="0.35">
      <c r="A57">
        <v>43</v>
      </c>
      <c r="B57" t="s">
        <v>51</v>
      </c>
      <c r="C57" s="13" t="s">
        <v>1273</v>
      </c>
      <c r="D57" t="s">
        <v>376</v>
      </c>
      <c r="E57" t="s">
        <v>477</v>
      </c>
      <c r="F57" t="s">
        <v>478</v>
      </c>
      <c r="G57" t="s">
        <v>380</v>
      </c>
      <c r="H57" s="3">
        <v>41106</v>
      </c>
      <c r="I57" s="6">
        <v>431234456</v>
      </c>
      <c r="J57" t="s">
        <v>2</v>
      </c>
    </row>
    <row r="58" spans="1:10" x14ac:dyDescent="0.35">
      <c r="A58">
        <v>44</v>
      </c>
      <c r="B58" t="s">
        <v>52</v>
      </c>
      <c r="C58" s="13" t="s">
        <v>1274</v>
      </c>
      <c r="D58" t="s">
        <v>376</v>
      </c>
      <c r="E58" t="s">
        <v>408</v>
      </c>
      <c r="F58" t="s">
        <v>479</v>
      </c>
      <c r="G58" t="s">
        <v>381</v>
      </c>
      <c r="H58" s="3">
        <v>42849</v>
      </c>
      <c r="I58" s="6">
        <v>411042212</v>
      </c>
      <c r="J58" t="s">
        <v>2</v>
      </c>
    </row>
    <row r="59" spans="1:10" x14ac:dyDescent="0.35">
      <c r="A59">
        <v>45</v>
      </c>
      <c r="B59" t="s">
        <v>53</v>
      </c>
      <c r="C59" s="13" t="s">
        <v>1275</v>
      </c>
      <c r="D59" t="s">
        <v>382</v>
      </c>
      <c r="E59" t="s">
        <v>450</v>
      </c>
      <c r="F59" t="s">
        <v>479</v>
      </c>
      <c r="G59" t="s">
        <v>381</v>
      </c>
      <c r="H59" s="3">
        <v>37750</v>
      </c>
      <c r="I59" s="6">
        <v>431319650</v>
      </c>
      <c r="J59" t="s">
        <v>2</v>
      </c>
    </row>
    <row r="60" spans="1:10" x14ac:dyDescent="0.35">
      <c r="A60">
        <v>46</v>
      </c>
      <c r="B60" t="s">
        <v>54</v>
      </c>
      <c r="C60" s="13" t="s">
        <v>1276</v>
      </c>
      <c r="D60" t="s">
        <v>382</v>
      </c>
      <c r="E60" t="s">
        <v>480</v>
      </c>
      <c r="F60" t="s">
        <v>481</v>
      </c>
      <c r="G60" t="s">
        <v>381</v>
      </c>
      <c r="H60" s="3">
        <v>40678</v>
      </c>
      <c r="I60" s="6">
        <v>601803569</v>
      </c>
      <c r="J60" t="s">
        <v>2</v>
      </c>
    </row>
    <row r="61" spans="1:10" x14ac:dyDescent="0.35">
      <c r="A61">
        <v>47</v>
      </c>
      <c r="B61" t="s">
        <v>55</v>
      </c>
      <c r="C61" s="13" t="s">
        <v>1277</v>
      </c>
      <c r="D61" t="s">
        <v>482</v>
      </c>
      <c r="E61" t="s">
        <v>483</v>
      </c>
      <c r="F61" t="s">
        <v>476</v>
      </c>
      <c r="G61" t="s">
        <v>380</v>
      </c>
      <c r="H61" s="3">
        <v>40468</v>
      </c>
      <c r="I61" s="6">
        <v>601608310</v>
      </c>
      <c r="J61" t="s">
        <v>2</v>
      </c>
    </row>
    <row r="62" spans="1:10" x14ac:dyDescent="0.35">
      <c r="A62">
        <v>48</v>
      </c>
      <c r="B62" t="s">
        <v>56</v>
      </c>
      <c r="C62" s="13" t="s">
        <v>1278</v>
      </c>
      <c r="D62" t="s">
        <v>484</v>
      </c>
      <c r="E62" t="s">
        <v>485</v>
      </c>
      <c r="F62" t="s">
        <v>486</v>
      </c>
      <c r="G62" t="s">
        <v>381</v>
      </c>
      <c r="H62" s="3">
        <v>43265</v>
      </c>
      <c r="I62" s="6">
        <v>411042211</v>
      </c>
      <c r="J62" t="s">
        <v>2</v>
      </c>
    </row>
    <row r="63" spans="1:10" x14ac:dyDescent="0.35">
      <c r="A63">
        <v>49</v>
      </c>
      <c r="B63" t="s">
        <v>57</v>
      </c>
      <c r="C63" s="13" t="s">
        <v>1279</v>
      </c>
      <c r="D63" t="s">
        <v>484</v>
      </c>
      <c r="E63" t="s">
        <v>487</v>
      </c>
      <c r="F63" t="s">
        <v>446</v>
      </c>
      <c r="G63" t="s">
        <v>381</v>
      </c>
      <c r="H63" s="3">
        <v>40909</v>
      </c>
      <c r="I63" s="6">
        <v>431625363</v>
      </c>
      <c r="J63" t="s">
        <v>2</v>
      </c>
    </row>
    <row r="64" spans="1:10" x14ac:dyDescent="0.35">
      <c r="A64">
        <v>50</v>
      </c>
      <c r="B64" t="s">
        <v>58</v>
      </c>
      <c r="C64" s="13" t="s">
        <v>1280</v>
      </c>
      <c r="D64" t="s">
        <v>488</v>
      </c>
      <c r="E64" t="s">
        <v>489</v>
      </c>
      <c r="F64" t="s">
        <v>490</v>
      </c>
      <c r="G64" t="s">
        <v>381</v>
      </c>
      <c r="H64" s="3">
        <v>41009</v>
      </c>
      <c r="I64" s="6" t="s">
        <v>59</v>
      </c>
      <c r="J64" t="s">
        <v>2</v>
      </c>
    </row>
    <row r="65" spans="1:10" x14ac:dyDescent="0.35">
      <c r="A65">
        <v>51</v>
      </c>
      <c r="B65" t="s">
        <v>60</v>
      </c>
      <c r="C65" s="13" t="s">
        <v>1281</v>
      </c>
      <c r="D65" t="s">
        <v>491</v>
      </c>
      <c r="E65" t="s">
        <v>445</v>
      </c>
      <c r="F65" t="s">
        <v>492</v>
      </c>
      <c r="G65" t="s">
        <v>381</v>
      </c>
      <c r="H65" s="3">
        <v>41020</v>
      </c>
      <c r="I65" s="6">
        <v>431983391</v>
      </c>
      <c r="J65" t="s">
        <v>2</v>
      </c>
    </row>
    <row r="66" spans="1:10" x14ac:dyDescent="0.35">
      <c r="A66">
        <v>52</v>
      </c>
      <c r="C66" s="13"/>
    </row>
    <row r="67" spans="1:10" x14ac:dyDescent="0.35">
      <c r="A67">
        <v>53</v>
      </c>
      <c r="C67" s="13"/>
    </row>
    <row r="68" spans="1:10" x14ac:dyDescent="0.35">
      <c r="A68">
        <v>54</v>
      </c>
      <c r="C68" s="13"/>
    </row>
    <row r="69" spans="1:10" x14ac:dyDescent="0.35">
      <c r="A69">
        <v>55</v>
      </c>
      <c r="C69" s="13"/>
    </row>
    <row r="70" spans="1:10" x14ac:dyDescent="0.35">
      <c r="A70">
        <v>56</v>
      </c>
      <c r="C70" s="13"/>
    </row>
    <row r="71" spans="1:10" x14ac:dyDescent="0.35">
      <c r="A71">
        <v>57</v>
      </c>
      <c r="C71" s="13"/>
    </row>
    <row r="72" spans="1:10" x14ac:dyDescent="0.35">
      <c r="A72">
        <v>58</v>
      </c>
      <c r="C72" s="13"/>
    </row>
    <row r="73" spans="1:10" x14ac:dyDescent="0.35">
      <c r="A73">
        <v>59</v>
      </c>
      <c r="C73" s="13"/>
    </row>
    <row r="74" spans="1:10" x14ac:dyDescent="0.35">
      <c r="A74">
        <v>60</v>
      </c>
      <c r="C74" s="13"/>
    </row>
  </sheetData>
  <mergeCells count="1">
    <mergeCell ref="A1:J13"/>
  </mergeCells>
  <phoneticPr fontId="3" type="noConversion"/>
  <conditionalFormatting sqref="B1:B1048576">
    <cfRule type="duplicateValues" dxfId="3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ECEA-51A1-4D4A-AAEB-6C91035C9D89}">
  <sheetPr codeName="Sheet1"/>
  <dimension ref="A1:J57"/>
  <sheetViews>
    <sheetView workbookViewId="0">
      <selection activeCell="E10" sqref="E10"/>
    </sheetView>
  </sheetViews>
  <sheetFormatPr defaultRowHeight="14" x14ac:dyDescent="0.3"/>
  <cols>
    <col min="1" max="1" width="8.7265625" style="4"/>
    <col min="2" max="2" width="8.90625" style="4" bestFit="1" customWidth="1"/>
    <col min="3" max="3" width="12.453125" style="4" bestFit="1" customWidth="1"/>
    <col min="4" max="4" width="15.1796875" style="4" customWidth="1"/>
    <col min="5" max="5" width="12" style="4" bestFit="1" customWidth="1"/>
    <col min="6" max="6" width="16.1796875" style="4" bestFit="1" customWidth="1"/>
    <col min="7" max="7" width="6.6328125" style="4" bestFit="1" customWidth="1"/>
    <col min="8" max="8" width="11.26953125" style="4" bestFit="1" customWidth="1"/>
    <col min="9" max="9" width="16.6328125" style="4" bestFit="1" customWidth="1"/>
    <col min="10" max="10" width="20.08984375" style="4" bestFit="1" customWidth="1"/>
    <col min="11" max="16384" width="8.7265625" style="4"/>
  </cols>
  <sheetData>
    <row r="1" spans="1:10" s="5" customFormat="1" ht="15" thickBot="1" x14ac:dyDescent="0.4">
      <c r="B1" s="2" t="s">
        <v>378</v>
      </c>
      <c r="C1" s="2" t="s">
        <v>493</v>
      </c>
      <c r="D1" s="2" t="s">
        <v>385</v>
      </c>
      <c r="E1" s="2" t="s">
        <v>384</v>
      </c>
      <c r="F1" s="2" t="s">
        <v>931</v>
      </c>
      <c r="G1" s="2" t="s">
        <v>0</v>
      </c>
      <c r="H1" s="2" t="s">
        <v>1</v>
      </c>
      <c r="I1" s="2" t="s">
        <v>932</v>
      </c>
      <c r="J1" s="9" t="s">
        <v>933</v>
      </c>
    </row>
    <row r="2" spans="1:10" ht="14.5" thickBot="1" x14ac:dyDescent="0.35">
      <c r="A2" s="4" cm="1">
        <f t="array" ref="A2:A41">_xlfn.SEQUENCE(40)</f>
        <v>1</v>
      </c>
      <c r="B2" s="26" t="s">
        <v>117</v>
      </c>
      <c r="C2" s="27" t="s">
        <v>1090</v>
      </c>
      <c r="D2" s="26" t="s">
        <v>503</v>
      </c>
      <c r="E2" s="26" t="s">
        <v>460</v>
      </c>
      <c r="F2" s="26" t="s">
        <v>504</v>
      </c>
      <c r="G2" s="26" t="s">
        <v>380</v>
      </c>
      <c r="H2" s="28">
        <v>42759</v>
      </c>
      <c r="I2" s="26">
        <v>2613107910</v>
      </c>
      <c r="J2" s="4" t="s">
        <v>2</v>
      </c>
    </row>
    <row r="3" spans="1:10" x14ac:dyDescent="0.3">
      <c r="A3" s="4">
        <v>2</v>
      </c>
      <c r="B3" s="26" t="s">
        <v>115</v>
      </c>
      <c r="C3" s="29" t="s">
        <v>1091</v>
      </c>
      <c r="D3" s="26" t="s">
        <v>496</v>
      </c>
      <c r="E3" s="26" t="s">
        <v>497</v>
      </c>
      <c r="F3" s="26"/>
      <c r="G3" s="26" t="s">
        <v>381</v>
      </c>
      <c r="H3" s="28">
        <v>42605</v>
      </c>
      <c r="I3" s="26">
        <v>431625371</v>
      </c>
      <c r="J3" s="4" t="s">
        <v>2</v>
      </c>
    </row>
    <row r="4" spans="1:10" ht="14.5" thickBot="1" x14ac:dyDescent="0.35">
      <c r="A4" s="4">
        <v>3</v>
      </c>
      <c r="B4" s="26" t="s">
        <v>118</v>
      </c>
      <c r="C4" s="34" t="s">
        <v>1092</v>
      </c>
      <c r="D4" s="26" t="s">
        <v>419</v>
      </c>
      <c r="E4" s="26" t="s">
        <v>505</v>
      </c>
      <c r="F4" s="26" t="s">
        <v>506</v>
      </c>
      <c r="G4" s="26" t="s">
        <v>381</v>
      </c>
      <c r="H4" s="28">
        <v>42629</v>
      </c>
      <c r="I4" s="26">
        <v>431984062</v>
      </c>
      <c r="J4" s="4" t="s">
        <v>2</v>
      </c>
    </row>
    <row r="5" spans="1:10" x14ac:dyDescent="0.3">
      <c r="A5" s="4">
        <v>4</v>
      </c>
      <c r="B5" s="26"/>
      <c r="C5" s="32" t="s">
        <v>1093</v>
      </c>
      <c r="D5" s="26" t="s">
        <v>376</v>
      </c>
      <c r="E5" s="26" t="s">
        <v>533</v>
      </c>
      <c r="F5" s="26" t="s">
        <v>376</v>
      </c>
      <c r="G5" s="26" t="s">
        <v>380</v>
      </c>
      <c r="H5" s="26"/>
      <c r="I5" s="26"/>
    </row>
    <row r="6" spans="1:10" ht="14.5" thickBot="1" x14ac:dyDescent="0.35">
      <c r="A6" s="4">
        <v>5</v>
      </c>
      <c r="B6" s="26"/>
      <c r="C6" s="33" t="s">
        <v>1094</v>
      </c>
      <c r="D6" s="26" t="s">
        <v>376</v>
      </c>
      <c r="E6" s="26" t="s">
        <v>548</v>
      </c>
      <c r="F6" s="26" t="s">
        <v>382</v>
      </c>
      <c r="G6" s="26" t="s">
        <v>380</v>
      </c>
      <c r="H6" s="26"/>
      <c r="I6" s="26"/>
    </row>
    <row r="7" spans="1:10" ht="14.5" thickBot="1" x14ac:dyDescent="0.35">
      <c r="A7" s="4">
        <v>6</v>
      </c>
      <c r="B7" s="26"/>
      <c r="C7" s="29" t="s">
        <v>1095</v>
      </c>
      <c r="D7" s="26" t="s">
        <v>456</v>
      </c>
      <c r="E7" s="26" t="s">
        <v>936</v>
      </c>
      <c r="F7" s="26" t="s">
        <v>383</v>
      </c>
      <c r="G7" s="26" t="s">
        <v>381</v>
      </c>
      <c r="H7" s="26"/>
      <c r="I7" s="26"/>
    </row>
    <row r="8" spans="1:10" ht="14.5" thickBot="1" x14ac:dyDescent="0.35">
      <c r="A8" s="4">
        <v>7</v>
      </c>
      <c r="B8" s="26"/>
      <c r="C8" s="30" t="s">
        <v>1096</v>
      </c>
      <c r="D8" s="26" t="s">
        <v>465</v>
      </c>
      <c r="E8" s="26" t="s">
        <v>723</v>
      </c>
      <c r="F8" s="26" t="s">
        <v>383</v>
      </c>
      <c r="G8" s="26" t="s">
        <v>381</v>
      </c>
      <c r="H8" s="26"/>
      <c r="I8" s="26"/>
    </row>
    <row r="9" spans="1:10" x14ac:dyDescent="0.3">
      <c r="A9" s="4">
        <v>8</v>
      </c>
      <c r="B9" s="26"/>
      <c r="C9" s="29" t="s">
        <v>1097</v>
      </c>
      <c r="D9" s="26" t="s">
        <v>419</v>
      </c>
      <c r="E9" s="26" t="s">
        <v>940</v>
      </c>
      <c r="F9" s="26" t="s">
        <v>656</v>
      </c>
      <c r="G9" s="26" t="s">
        <v>381</v>
      </c>
      <c r="H9" s="26"/>
      <c r="I9" s="26"/>
    </row>
    <row r="10" spans="1:10" x14ac:dyDescent="0.3">
      <c r="A10" s="4">
        <v>9</v>
      </c>
      <c r="B10" s="26" t="s">
        <v>121</v>
      </c>
      <c r="C10" s="33" t="s">
        <v>1098</v>
      </c>
      <c r="D10" s="26" t="s">
        <v>376</v>
      </c>
      <c r="E10" s="26" t="s">
        <v>515</v>
      </c>
      <c r="F10" s="26" t="s">
        <v>423</v>
      </c>
      <c r="G10" s="26" t="s">
        <v>381</v>
      </c>
      <c r="H10" s="28">
        <v>42161</v>
      </c>
      <c r="I10" s="26">
        <v>431983383</v>
      </c>
      <c r="J10" s="4" t="s">
        <v>2</v>
      </c>
    </row>
    <row r="11" spans="1:10" x14ac:dyDescent="0.3">
      <c r="A11" s="4">
        <v>10</v>
      </c>
      <c r="B11" s="26"/>
      <c r="C11" s="32" t="s">
        <v>1099</v>
      </c>
      <c r="D11" s="26" t="s">
        <v>943</v>
      </c>
      <c r="E11" s="26" t="s">
        <v>657</v>
      </c>
      <c r="F11" s="26" t="s">
        <v>447</v>
      </c>
      <c r="G11" s="26" t="s">
        <v>380</v>
      </c>
      <c r="H11" s="26"/>
      <c r="I11" s="26"/>
    </row>
    <row r="12" spans="1:10" x14ac:dyDescent="0.3">
      <c r="A12" s="4">
        <v>11</v>
      </c>
      <c r="B12" s="26"/>
      <c r="C12" s="33" t="s">
        <v>1100</v>
      </c>
      <c r="D12" s="26" t="s">
        <v>783</v>
      </c>
      <c r="E12" s="26" t="s">
        <v>413</v>
      </c>
      <c r="F12" s="26" t="s">
        <v>935</v>
      </c>
      <c r="G12" s="26" t="s">
        <v>380</v>
      </c>
      <c r="H12" s="26"/>
      <c r="I12" s="26"/>
    </row>
    <row r="13" spans="1:10" x14ac:dyDescent="0.3">
      <c r="A13" s="4">
        <v>12</v>
      </c>
      <c r="B13" s="26" t="s">
        <v>116</v>
      </c>
      <c r="C13" s="32" t="s">
        <v>1101</v>
      </c>
      <c r="D13" s="26" t="s">
        <v>501</v>
      </c>
      <c r="E13" s="26" t="s">
        <v>502</v>
      </c>
      <c r="F13" s="26" t="s">
        <v>416</v>
      </c>
      <c r="G13" s="26" t="s">
        <v>380</v>
      </c>
      <c r="H13" s="28">
        <v>42605</v>
      </c>
      <c r="I13" s="26">
        <v>601606614</v>
      </c>
      <c r="J13" s="4" t="s">
        <v>2</v>
      </c>
    </row>
    <row r="14" spans="1:10" ht="14.5" thickBot="1" x14ac:dyDescent="0.35">
      <c r="A14" s="4">
        <v>13</v>
      </c>
      <c r="B14" s="26" t="s">
        <v>114</v>
      </c>
      <c r="C14" s="33" t="s">
        <v>1102</v>
      </c>
      <c r="D14" s="26" t="s">
        <v>494</v>
      </c>
      <c r="E14" s="26" t="s">
        <v>495</v>
      </c>
      <c r="F14" s="26"/>
      <c r="G14" s="26" t="s">
        <v>380</v>
      </c>
      <c r="H14" s="28">
        <v>42560</v>
      </c>
      <c r="I14" s="26">
        <v>4318113361</v>
      </c>
      <c r="J14" s="4" t="s">
        <v>2</v>
      </c>
    </row>
    <row r="15" spans="1:10" ht="14.5" thickBot="1" x14ac:dyDescent="0.35">
      <c r="A15" s="4">
        <v>14</v>
      </c>
      <c r="B15" s="26" t="s">
        <v>123</v>
      </c>
      <c r="C15" s="29" t="s">
        <v>1103</v>
      </c>
      <c r="D15" s="26" t="s">
        <v>519</v>
      </c>
      <c r="E15" s="26" t="s">
        <v>415</v>
      </c>
      <c r="F15" s="26" t="s">
        <v>517</v>
      </c>
      <c r="G15" s="26" t="s">
        <v>380</v>
      </c>
      <c r="H15" s="28">
        <v>42006</v>
      </c>
      <c r="I15" s="26">
        <v>431606676</v>
      </c>
      <c r="J15" s="4" t="s">
        <v>2</v>
      </c>
    </row>
    <row r="16" spans="1:10" x14ac:dyDescent="0.3">
      <c r="A16" s="4">
        <v>15</v>
      </c>
      <c r="B16" s="26"/>
      <c r="C16" s="27" t="s">
        <v>1104</v>
      </c>
      <c r="D16" s="26" t="s">
        <v>461</v>
      </c>
      <c r="E16" s="26" t="s">
        <v>934</v>
      </c>
      <c r="F16" s="26" t="s">
        <v>376</v>
      </c>
      <c r="G16" s="26" t="s">
        <v>380</v>
      </c>
      <c r="H16" s="26"/>
      <c r="I16" s="26"/>
    </row>
    <row r="17" spans="1:10" ht="14.5" thickBot="1" x14ac:dyDescent="0.35">
      <c r="A17" s="4">
        <v>16</v>
      </c>
      <c r="B17" s="26" t="s">
        <v>122</v>
      </c>
      <c r="C17" s="32" t="s">
        <v>1105</v>
      </c>
      <c r="D17" s="26" t="s">
        <v>376</v>
      </c>
      <c r="E17" s="26" t="s">
        <v>477</v>
      </c>
      <c r="F17" s="26" t="s">
        <v>517</v>
      </c>
      <c r="G17" s="26" t="s">
        <v>380</v>
      </c>
      <c r="H17" s="28">
        <v>42392</v>
      </c>
      <c r="I17" s="26">
        <v>431624823</v>
      </c>
      <c r="J17" s="4" t="s">
        <v>2</v>
      </c>
    </row>
    <row r="18" spans="1:10" x14ac:dyDescent="0.3">
      <c r="A18" s="4">
        <v>17</v>
      </c>
      <c r="B18" s="26"/>
      <c r="C18" s="27" t="s">
        <v>1106</v>
      </c>
      <c r="D18" s="26" t="s">
        <v>938</v>
      </c>
      <c r="E18" s="26" t="s">
        <v>937</v>
      </c>
      <c r="F18" s="26" t="s">
        <v>939</v>
      </c>
      <c r="G18" s="26" t="s">
        <v>380</v>
      </c>
      <c r="H18" s="26"/>
      <c r="I18" s="26"/>
    </row>
    <row r="19" spans="1:10" x14ac:dyDescent="0.3">
      <c r="A19" s="4">
        <v>18</v>
      </c>
      <c r="B19" s="26" t="s">
        <v>120</v>
      </c>
      <c r="C19" s="32" t="s">
        <v>1107</v>
      </c>
      <c r="D19" s="26" t="s">
        <v>456</v>
      </c>
      <c r="E19" s="26" t="s">
        <v>513</v>
      </c>
      <c r="F19" s="26" t="s">
        <v>379</v>
      </c>
      <c r="G19" s="26" t="s">
        <v>380</v>
      </c>
      <c r="H19" s="28">
        <v>42489</v>
      </c>
      <c r="I19" s="26">
        <v>432307020</v>
      </c>
      <c r="J19" s="4" t="s">
        <v>2</v>
      </c>
    </row>
    <row r="20" spans="1:10" ht="14.5" thickBot="1" x14ac:dyDescent="0.35">
      <c r="A20" s="4">
        <v>19</v>
      </c>
      <c r="B20" s="26"/>
      <c r="C20" s="33" t="s">
        <v>1108</v>
      </c>
      <c r="D20" s="26" t="s">
        <v>549</v>
      </c>
      <c r="E20" s="26" t="s">
        <v>509</v>
      </c>
      <c r="F20" s="26" t="s">
        <v>540</v>
      </c>
      <c r="G20" s="26" t="s">
        <v>380</v>
      </c>
      <c r="H20" s="26"/>
      <c r="I20" s="26"/>
    </row>
    <row r="21" spans="1:10" x14ac:dyDescent="0.3">
      <c r="A21" s="4">
        <v>20</v>
      </c>
      <c r="B21" s="26"/>
      <c r="C21" s="29" t="s">
        <v>1109</v>
      </c>
      <c r="D21" s="26" t="s">
        <v>945</v>
      </c>
      <c r="E21" s="26" t="s">
        <v>944</v>
      </c>
      <c r="F21" s="26" t="s">
        <v>719</v>
      </c>
      <c r="G21" s="26" t="s">
        <v>380</v>
      </c>
      <c r="H21" s="26"/>
      <c r="I21" s="26"/>
    </row>
    <row r="22" spans="1:10" s="15" customFormat="1" x14ac:dyDescent="0.3">
      <c r="A22" s="15">
        <v>21</v>
      </c>
      <c r="B22" s="26" t="s">
        <v>119</v>
      </c>
      <c r="C22" s="33" t="s">
        <v>1110</v>
      </c>
      <c r="D22" s="26" t="s">
        <v>511</v>
      </c>
      <c r="E22" s="26" t="s">
        <v>512</v>
      </c>
      <c r="F22" s="26" t="s">
        <v>388</v>
      </c>
      <c r="G22" s="26" t="s">
        <v>381</v>
      </c>
      <c r="H22" s="28">
        <v>42651</v>
      </c>
      <c r="I22" s="26">
        <v>602300338</v>
      </c>
      <c r="J22" s="4" t="s">
        <v>2</v>
      </c>
    </row>
    <row r="23" spans="1:10" s="15" customFormat="1" ht="14.5" thickBot="1" x14ac:dyDescent="0.35">
      <c r="A23" s="15">
        <v>22</v>
      </c>
      <c r="B23" s="26"/>
      <c r="C23" s="32" t="s">
        <v>1111</v>
      </c>
      <c r="D23" s="26" t="s">
        <v>427</v>
      </c>
      <c r="E23" s="26" t="s">
        <v>624</v>
      </c>
      <c r="F23" s="26" t="s">
        <v>376</v>
      </c>
      <c r="G23" s="26" t="s">
        <v>380</v>
      </c>
      <c r="H23" s="26"/>
      <c r="I23" s="26"/>
      <c r="J23" s="4"/>
    </row>
    <row r="24" spans="1:10" x14ac:dyDescent="0.3">
      <c r="A24" s="4">
        <v>23</v>
      </c>
      <c r="B24" s="26"/>
      <c r="C24" s="27" t="s">
        <v>1112</v>
      </c>
      <c r="D24" s="26" t="s">
        <v>942</v>
      </c>
      <c r="E24" s="26" t="s">
        <v>941</v>
      </c>
      <c r="F24" s="26" t="s">
        <v>456</v>
      </c>
      <c r="G24" s="26" t="s">
        <v>380</v>
      </c>
      <c r="H24" s="26"/>
      <c r="I24" s="26"/>
    </row>
    <row r="25" spans="1:10" s="15" customFormat="1" ht="14.5" thickBot="1" x14ac:dyDescent="0.35">
      <c r="A25" s="15">
        <v>24</v>
      </c>
      <c r="B25" s="26" t="s">
        <v>946</v>
      </c>
      <c r="C25" s="32"/>
      <c r="D25" s="26" t="s">
        <v>394</v>
      </c>
      <c r="E25" s="26" t="s">
        <v>947</v>
      </c>
      <c r="F25" s="26"/>
      <c r="G25" s="26" t="s">
        <v>381</v>
      </c>
      <c r="H25" s="28">
        <v>41967</v>
      </c>
      <c r="I25" s="26">
        <v>622118242</v>
      </c>
      <c r="J25" s="4" t="s">
        <v>2</v>
      </c>
    </row>
    <row r="26" spans="1:10" ht="14.5" thickBot="1" x14ac:dyDescent="0.35">
      <c r="A26" s="4">
        <v>25</v>
      </c>
      <c r="B26" s="26" t="s">
        <v>948</v>
      </c>
      <c r="C26" s="31"/>
      <c r="D26" s="26" t="s">
        <v>498</v>
      </c>
      <c r="E26" s="26" t="s">
        <v>949</v>
      </c>
      <c r="F26" s="26"/>
      <c r="G26" s="26" t="s">
        <v>381</v>
      </c>
      <c r="H26" s="28">
        <v>42610</v>
      </c>
      <c r="I26" s="26">
        <v>602204538</v>
      </c>
      <c r="J26" s="4" t="s">
        <v>2</v>
      </c>
    </row>
    <row r="27" spans="1:10" ht="14.5" thickBot="1" x14ac:dyDescent="0.35">
      <c r="A27" s="4">
        <v>26</v>
      </c>
      <c r="B27" s="26" t="s">
        <v>950</v>
      </c>
      <c r="C27" s="31"/>
      <c r="D27" s="26" t="s">
        <v>951</v>
      </c>
      <c r="E27" s="26" t="s">
        <v>500</v>
      </c>
      <c r="F27" s="26"/>
      <c r="G27" s="26" t="s">
        <v>381</v>
      </c>
      <c r="H27" s="28">
        <v>42296</v>
      </c>
      <c r="I27" s="26">
        <v>431974159</v>
      </c>
      <c r="J27" s="4" t="s">
        <v>2</v>
      </c>
    </row>
    <row r="28" spans="1:10" ht="14.5" thickBot="1" x14ac:dyDescent="0.35">
      <c r="A28" s="4">
        <v>27</v>
      </c>
      <c r="B28" s="26" t="s">
        <v>952</v>
      </c>
      <c r="C28" s="31"/>
      <c r="D28" s="26" t="s">
        <v>953</v>
      </c>
      <c r="E28" s="26" t="s">
        <v>507</v>
      </c>
      <c r="F28" s="26" t="s">
        <v>446</v>
      </c>
      <c r="G28" s="26" t="s">
        <v>381</v>
      </c>
      <c r="H28" s="28">
        <v>41698</v>
      </c>
      <c r="I28" s="26">
        <v>431963765</v>
      </c>
      <c r="J28" s="4" t="s">
        <v>2</v>
      </c>
    </row>
    <row r="29" spans="1:10" ht="14.5" thickBot="1" x14ac:dyDescent="0.35">
      <c r="A29" s="4">
        <v>28</v>
      </c>
      <c r="B29" s="26" t="s">
        <v>954</v>
      </c>
      <c r="C29" s="31"/>
      <c r="D29" s="26" t="s">
        <v>955</v>
      </c>
      <c r="E29" s="26" t="s">
        <v>956</v>
      </c>
      <c r="F29" s="26" t="s">
        <v>414</v>
      </c>
      <c r="G29" s="26" t="s">
        <v>380</v>
      </c>
      <c r="H29" s="28">
        <v>43201</v>
      </c>
      <c r="I29" s="26">
        <v>6008005091</v>
      </c>
      <c r="J29" s="4" t="s">
        <v>2</v>
      </c>
    </row>
    <row r="30" spans="1:10" ht="14.5" thickBot="1" x14ac:dyDescent="0.35">
      <c r="A30" s="4">
        <v>29</v>
      </c>
      <c r="B30" s="26" t="s">
        <v>957</v>
      </c>
      <c r="C30" s="31"/>
      <c r="D30" s="26" t="s">
        <v>958</v>
      </c>
      <c r="E30" s="26" t="s">
        <v>480</v>
      </c>
      <c r="F30" s="26" t="s">
        <v>959</v>
      </c>
      <c r="G30" s="26" t="s">
        <v>381</v>
      </c>
      <c r="H30" s="28">
        <v>42746</v>
      </c>
      <c r="I30" s="26">
        <v>601820614</v>
      </c>
      <c r="J30" s="4" t="s">
        <v>2</v>
      </c>
    </row>
    <row r="31" spans="1:10" ht="14.5" thickBot="1" x14ac:dyDescent="0.35">
      <c r="A31" s="4">
        <v>30</v>
      </c>
      <c r="B31" s="26" t="s">
        <v>960</v>
      </c>
      <c r="C31" s="31"/>
      <c r="D31" s="26" t="s">
        <v>508</v>
      </c>
      <c r="E31" s="26" t="s">
        <v>509</v>
      </c>
      <c r="F31" s="26" t="s">
        <v>416</v>
      </c>
      <c r="G31" s="26" t="s">
        <v>380</v>
      </c>
      <c r="H31" s="28">
        <v>42538</v>
      </c>
      <c r="I31" s="26">
        <v>621612338</v>
      </c>
      <c r="J31" s="4" t="s">
        <v>2</v>
      </c>
    </row>
    <row r="32" spans="1:10" ht="14.5" thickBot="1" x14ac:dyDescent="0.35">
      <c r="A32" s="4">
        <v>31</v>
      </c>
      <c r="B32" s="26" t="s">
        <v>961</v>
      </c>
      <c r="C32" s="31"/>
      <c r="D32" s="26" t="s">
        <v>962</v>
      </c>
      <c r="E32" s="26" t="s">
        <v>510</v>
      </c>
      <c r="F32" s="26" t="s">
        <v>423</v>
      </c>
      <c r="G32" s="26" t="s">
        <v>381</v>
      </c>
      <c r="H32" s="28">
        <v>42121</v>
      </c>
      <c r="I32" s="26">
        <v>432219733</v>
      </c>
      <c r="J32" s="4" t="s">
        <v>2</v>
      </c>
    </row>
    <row r="33" spans="1:10" ht="14.5" thickBot="1" x14ac:dyDescent="0.35">
      <c r="A33" s="4">
        <v>32</v>
      </c>
      <c r="B33" s="26" t="s">
        <v>963</v>
      </c>
      <c r="C33" s="31"/>
      <c r="D33" s="26" t="s">
        <v>964</v>
      </c>
      <c r="E33" s="26" t="s">
        <v>514</v>
      </c>
      <c r="F33" s="26" t="s">
        <v>499</v>
      </c>
      <c r="G33" s="26" t="s">
        <v>380</v>
      </c>
      <c r="H33" s="28">
        <v>42607</v>
      </c>
      <c r="I33" s="26">
        <v>432244257</v>
      </c>
      <c r="J33" s="4" t="s">
        <v>2</v>
      </c>
    </row>
    <row r="34" spans="1:10" ht="14.5" thickBot="1" x14ac:dyDescent="0.35">
      <c r="A34" s="4">
        <v>33</v>
      </c>
      <c r="B34" s="26" t="s">
        <v>965</v>
      </c>
      <c r="C34" s="31"/>
      <c r="D34" s="26" t="s">
        <v>376</v>
      </c>
      <c r="E34" s="26" t="s">
        <v>516</v>
      </c>
      <c r="F34" s="26" t="s">
        <v>414</v>
      </c>
      <c r="G34" s="26" t="s">
        <v>380</v>
      </c>
      <c r="H34" s="28">
        <v>42310</v>
      </c>
      <c r="I34" s="26">
        <v>432017548</v>
      </c>
      <c r="J34" s="4" t="s">
        <v>2</v>
      </c>
    </row>
    <row r="35" spans="1:10" ht="14.5" thickBot="1" x14ac:dyDescent="0.35">
      <c r="A35" s="4">
        <v>34</v>
      </c>
      <c r="B35" s="26" t="s">
        <v>966</v>
      </c>
      <c r="C35" s="31"/>
      <c r="D35" s="26" t="s">
        <v>376</v>
      </c>
      <c r="E35" s="26" t="s">
        <v>967</v>
      </c>
      <c r="F35" s="26" t="s">
        <v>440</v>
      </c>
      <c r="G35" s="26" t="s">
        <v>381</v>
      </c>
      <c r="H35" s="28">
        <v>41548</v>
      </c>
      <c r="I35" s="26">
        <v>431983384</v>
      </c>
      <c r="J35" s="4" t="s">
        <v>2</v>
      </c>
    </row>
    <row r="36" spans="1:10" ht="14.5" thickBot="1" x14ac:dyDescent="0.35">
      <c r="A36" s="4">
        <v>35</v>
      </c>
      <c r="B36" s="26" t="s">
        <v>968</v>
      </c>
      <c r="C36" s="31"/>
      <c r="D36" s="26" t="s">
        <v>376</v>
      </c>
      <c r="E36" s="26" t="s">
        <v>969</v>
      </c>
      <c r="F36" s="26" t="s">
        <v>970</v>
      </c>
      <c r="G36" s="26" t="s">
        <v>380</v>
      </c>
      <c r="H36" s="28">
        <v>42212</v>
      </c>
      <c r="I36" s="26">
        <v>432204865</v>
      </c>
      <c r="J36" s="15" t="s">
        <v>2</v>
      </c>
    </row>
    <row r="37" spans="1:10" ht="14.5" thickBot="1" x14ac:dyDescent="0.35">
      <c r="A37" s="4">
        <v>36</v>
      </c>
      <c r="B37" s="26" t="s">
        <v>971</v>
      </c>
      <c r="C37" s="31"/>
      <c r="D37" s="26" t="s">
        <v>482</v>
      </c>
      <c r="E37" s="26" t="s">
        <v>972</v>
      </c>
      <c r="F37" s="26" t="s">
        <v>518</v>
      </c>
      <c r="G37" s="26" t="s">
        <v>381</v>
      </c>
      <c r="H37" s="28">
        <v>42305</v>
      </c>
      <c r="I37" s="26">
        <v>601608309</v>
      </c>
      <c r="J37" s="15" t="s">
        <v>2</v>
      </c>
    </row>
    <row r="38" spans="1:10" x14ac:dyDescent="0.3">
      <c r="A38" s="4">
        <v>37</v>
      </c>
      <c r="B38" s="26" t="s">
        <v>973</v>
      </c>
      <c r="C38" s="31"/>
      <c r="D38" s="26" t="s">
        <v>974</v>
      </c>
      <c r="E38" s="26" t="s">
        <v>975</v>
      </c>
      <c r="F38" s="26" t="s">
        <v>976</v>
      </c>
      <c r="G38" s="26" t="s">
        <v>381</v>
      </c>
      <c r="H38" s="28">
        <v>42489</v>
      </c>
      <c r="I38" s="26">
        <v>591823696</v>
      </c>
      <c r="J38" s="15" t="s">
        <v>2</v>
      </c>
    </row>
    <row r="39" spans="1:10" x14ac:dyDescent="0.3">
      <c r="A39" s="4">
        <v>38</v>
      </c>
      <c r="B39" s="26"/>
      <c r="C39" s="26"/>
      <c r="D39" s="26"/>
      <c r="E39" s="26"/>
      <c r="F39" s="26"/>
      <c r="G39" s="26"/>
      <c r="H39" s="26"/>
      <c r="I39" s="26"/>
    </row>
    <row r="40" spans="1:10" x14ac:dyDescent="0.3">
      <c r="A40" s="4">
        <v>39</v>
      </c>
    </row>
    <row r="41" spans="1:10" ht="14" customHeight="1" x14ac:dyDescent="0.3">
      <c r="A41" s="4">
        <v>40</v>
      </c>
    </row>
    <row r="45" spans="1:10" ht="14" customHeight="1" x14ac:dyDescent="0.3"/>
    <row r="47" spans="1:10" ht="14" customHeight="1" x14ac:dyDescent="0.3"/>
    <row r="51" ht="14" customHeight="1" x14ac:dyDescent="0.3"/>
    <row r="53" ht="14" customHeight="1" x14ac:dyDescent="0.3"/>
    <row r="57" ht="14" customHeight="1" x14ac:dyDescent="0.3"/>
  </sheetData>
  <phoneticPr fontId="3" type="noConversion"/>
  <conditionalFormatting sqref="C1:C1048576">
    <cfRule type="duplicateValues" dxfId="2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B6DC-8F1B-48D2-8B9E-FD86B602203D}">
  <dimension ref="A1:J74"/>
  <sheetViews>
    <sheetView topLeftCell="A10" workbookViewId="0">
      <pane ySplit="4" topLeftCell="A62" activePane="bottomLeft" state="frozen"/>
      <selection activeCell="A10" sqref="A10"/>
      <selection pane="bottomLeft" activeCell="F76" sqref="F76"/>
    </sheetView>
  </sheetViews>
  <sheetFormatPr defaultRowHeight="14.5" x14ac:dyDescent="0.35"/>
  <cols>
    <col min="1" max="1" width="5.08984375" bestFit="1" customWidth="1"/>
    <col min="2" max="2" width="8.453125" bestFit="1" customWidth="1"/>
    <col min="3" max="3" width="12.453125" bestFit="1" customWidth="1"/>
    <col min="4" max="4" width="10.1796875" bestFit="1" customWidth="1"/>
    <col min="5" max="5" width="12.26953125" bestFit="1" customWidth="1"/>
    <col min="6" max="6" width="11.36328125" bestFit="1" customWidth="1"/>
    <col min="7" max="7" width="6.81640625" bestFit="1" customWidth="1"/>
    <col min="8" max="8" width="11.26953125" bestFit="1" customWidth="1"/>
    <col min="9" max="9" width="16.6328125" style="6" bestFit="1" customWidth="1"/>
    <col min="10" max="10" width="20.08984375" bestFit="1" customWidth="1"/>
  </cols>
  <sheetData>
    <row r="1" spans="1:10" ht="14.5" customHeight="1" x14ac:dyDescent="0.35">
      <c r="A1" s="38" t="s">
        <v>929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customHeight="1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4.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 ht="14.5" customHeight="1" x14ac:dyDescent="0.35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0" ht="14.5" customHeight="1" x14ac:dyDescent="0.35">
      <c r="A5" s="38"/>
      <c r="B5" s="38"/>
      <c r="C5" s="38"/>
      <c r="D5" s="38"/>
      <c r="E5" s="38"/>
      <c r="F5" s="38"/>
      <c r="G5" s="38"/>
      <c r="H5" s="38"/>
      <c r="I5" s="38"/>
      <c r="J5" s="38"/>
    </row>
    <row r="6" spans="1:10" ht="14.5" customHeight="1" x14ac:dyDescent="0.35">
      <c r="A6" s="38"/>
      <c r="B6" s="38"/>
      <c r="C6" s="38"/>
      <c r="D6" s="38"/>
      <c r="E6" s="38"/>
      <c r="F6" s="38"/>
      <c r="G6" s="38"/>
      <c r="H6" s="38"/>
      <c r="I6" s="38"/>
      <c r="J6" s="38"/>
    </row>
    <row r="7" spans="1:10" ht="14.5" customHeight="1" x14ac:dyDescent="0.35">
      <c r="A7" s="38"/>
      <c r="B7" s="38"/>
      <c r="C7" s="38"/>
      <c r="D7" s="38"/>
      <c r="E7" s="38"/>
      <c r="F7" s="38"/>
      <c r="G7" s="38"/>
      <c r="H7" s="38"/>
      <c r="I7" s="38"/>
      <c r="J7" s="38"/>
    </row>
    <row r="8" spans="1:10" ht="14.5" customHeight="1" x14ac:dyDescent="0.35">
      <c r="A8" s="38"/>
      <c r="B8" s="38"/>
      <c r="C8" s="38"/>
      <c r="D8" s="38"/>
      <c r="E8" s="38"/>
      <c r="F8" s="38"/>
      <c r="G8" s="38"/>
      <c r="H8" s="38"/>
      <c r="I8" s="38"/>
      <c r="J8" s="38"/>
    </row>
    <row r="9" spans="1:10" ht="14.5" customHeight="1" x14ac:dyDescent="0.35">
      <c r="A9" s="38"/>
      <c r="B9" s="38"/>
      <c r="C9" s="38"/>
      <c r="D9" s="38"/>
      <c r="E9" s="38"/>
      <c r="F9" s="38"/>
      <c r="G9" s="38"/>
      <c r="H9" s="38"/>
      <c r="I9" s="38"/>
      <c r="J9" s="38"/>
    </row>
    <row r="10" spans="1:10" ht="14.5" customHeight="1" x14ac:dyDescent="0.35">
      <c r="A10" s="38"/>
      <c r="B10" s="38"/>
      <c r="C10" s="38"/>
      <c r="D10" s="38"/>
      <c r="E10" s="38"/>
      <c r="F10" s="38"/>
      <c r="G10" s="38"/>
      <c r="H10" s="38"/>
      <c r="I10" s="38"/>
      <c r="J10" s="38"/>
    </row>
    <row r="11" spans="1:10" ht="14.5" customHeight="1" x14ac:dyDescent="0.35">
      <c r="A11" s="38"/>
      <c r="B11" s="38"/>
      <c r="C11" s="38"/>
      <c r="D11" s="38"/>
      <c r="E11" s="38"/>
      <c r="F11" s="38"/>
      <c r="G11" s="38"/>
      <c r="H11" s="38"/>
      <c r="I11" s="38"/>
      <c r="J11" s="38"/>
    </row>
    <row r="12" spans="1:10" ht="14.5" customHeight="1" x14ac:dyDescent="0.35">
      <c r="A12" s="38"/>
      <c r="B12" s="38"/>
      <c r="C12" s="38"/>
      <c r="D12" s="38"/>
      <c r="E12" s="38"/>
      <c r="F12" s="38"/>
      <c r="G12" s="38"/>
      <c r="H12" s="38"/>
      <c r="I12" s="38"/>
      <c r="J12" s="38"/>
    </row>
    <row r="13" spans="1:10" ht="14.5" customHeight="1" x14ac:dyDescent="0.35">
      <c r="A13" s="38"/>
      <c r="B13" s="38"/>
      <c r="C13" s="38"/>
      <c r="D13" s="38"/>
      <c r="E13" s="38"/>
      <c r="F13" s="38"/>
      <c r="G13" s="38"/>
      <c r="H13" s="38"/>
      <c r="I13" s="38"/>
      <c r="J13" s="38"/>
    </row>
    <row r="14" spans="1:10" s="5" customFormat="1" x14ac:dyDescent="0.35">
      <c r="A14" s="10" t="s">
        <v>930</v>
      </c>
      <c r="B14" s="2" t="s">
        <v>378</v>
      </c>
      <c r="C14" s="2" t="s">
        <v>493</v>
      </c>
      <c r="D14" s="2" t="s">
        <v>385</v>
      </c>
      <c r="E14" s="2" t="s">
        <v>384</v>
      </c>
      <c r="F14" s="2" t="s">
        <v>931</v>
      </c>
      <c r="G14" s="2" t="s">
        <v>0</v>
      </c>
      <c r="H14" s="2" t="s">
        <v>1</v>
      </c>
      <c r="I14" s="14" t="s">
        <v>932</v>
      </c>
      <c r="J14" s="9" t="s">
        <v>933</v>
      </c>
    </row>
    <row r="15" spans="1:10" x14ac:dyDescent="0.35">
      <c r="A15" cm="1">
        <f t="array" ref="A15:A74">_xlfn.SEQUENCE(60)</f>
        <v>1</v>
      </c>
      <c r="B15" t="s">
        <v>61</v>
      </c>
      <c r="D15" t="s">
        <v>520</v>
      </c>
      <c r="E15" t="s">
        <v>521</v>
      </c>
      <c r="F15" t="s">
        <v>388</v>
      </c>
      <c r="G15" t="s">
        <v>381</v>
      </c>
      <c r="H15" s="3">
        <v>41897</v>
      </c>
      <c r="I15" s="6">
        <v>432220356</v>
      </c>
      <c r="J15" t="s">
        <v>2</v>
      </c>
    </row>
    <row r="16" spans="1:10" x14ac:dyDescent="0.35">
      <c r="A16">
        <v>2</v>
      </c>
      <c r="B16" t="s">
        <v>62</v>
      </c>
      <c r="D16" t="s">
        <v>522</v>
      </c>
      <c r="E16" t="s">
        <v>523</v>
      </c>
      <c r="F16" t="s">
        <v>524</v>
      </c>
      <c r="G16" t="s">
        <v>381</v>
      </c>
      <c r="H16" s="3">
        <v>42170</v>
      </c>
      <c r="I16" s="6">
        <v>432224229</v>
      </c>
      <c r="J16" t="s">
        <v>2</v>
      </c>
    </row>
    <row r="17" spans="1:10" x14ac:dyDescent="0.35">
      <c r="A17">
        <v>3</v>
      </c>
      <c r="B17" t="s">
        <v>63</v>
      </c>
      <c r="C17" t="s">
        <v>1116</v>
      </c>
      <c r="D17" t="s">
        <v>525</v>
      </c>
      <c r="E17" t="s">
        <v>460</v>
      </c>
      <c r="F17" t="s">
        <v>476</v>
      </c>
      <c r="G17" t="s">
        <v>380</v>
      </c>
      <c r="H17" s="3">
        <v>41876</v>
      </c>
      <c r="I17" s="6">
        <v>431452166</v>
      </c>
      <c r="J17" t="s">
        <v>2</v>
      </c>
    </row>
    <row r="18" spans="1:10" x14ac:dyDescent="0.35">
      <c r="A18">
        <v>4</v>
      </c>
      <c r="B18" t="s">
        <v>64</v>
      </c>
      <c r="D18" t="s">
        <v>526</v>
      </c>
      <c r="E18" t="s">
        <v>527</v>
      </c>
      <c r="F18" t="s">
        <v>528</v>
      </c>
      <c r="G18" t="s">
        <v>381</v>
      </c>
      <c r="H18" s="3">
        <v>41171</v>
      </c>
      <c r="I18" s="6">
        <v>431851141</v>
      </c>
      <c r="J18" t="s">
        <v>2</v>
      </c>
    </row>
    <row r="19" spans="1:10" x14ac:dyDescent="0.35">
      <c r="A19">
        <v>5</v>
      </c>
      <c r="B19" t="s">
        <v>65</v>
      </c>
      <c r="D19" t="s">
        <v>529</v>
      </c>
      <c r="E19" t="s">
        <v>530</v>
      </c>
      <c r="F19" t="s">
        <v>531</v>
      </c>
      <c r="G19" t="s">
        <v>381</v>
      </c>
      <c r="H19" s="3">
        <v>40638</v>
      </c>
      <c r="I19" s="6">
        <v>431606535</v>
      </c>
      <c r="J19" t="s">
        <v>2</v>
      </c>
    </row>
    <row r="20" spans="1:10" x14ac:dyDescent="0.35">
      <c r="A20">
        <v>6</v>
      </c>
      <c r="B20" t="s">
        <v>66</v>
      </c>
      <c r="C20" t="s">
        <v>1141</v>
      </c>
      <c r="D20" t="s">
        <v>532</v>
      </c>
      <c r="E20" t="s">
        <v>533</v>
      </c>
      <c r="F20" t="s">
        <v>379</v>
      </c>
      <c r="G20" t="s">
        <v>380</v>
      </c>
      <c r="H20" s="3">
        <v>42987</v>
      </c>
      <c r="I20" s="6">
        <v>432017504</v>
      </c>
      <c r="J20" t="s">
        <v>2</v>
      </c>
    </row>
    <row r="21" spans="1:10" x14ac:dyDescent="0.35">
      <c r="A21">
        <v>7</v>
      </c>
      <c r="B21" t="s">
        <v>67</v>
      </c>
      <c r="D21" t="s">
        <v>394</v>
      </c>
      <c r="E21" t="s">
        <v>534</v>
      </c>
      <c r="F21" t="s">
        <v>535</v>
      </c>
      <c r="G21" t="s">
        <v>381</v>
      </c>
      <c r="H21" s="3">
        <v>41531</v>
      </c>
      <c r="I21" s="6">
        <v>432216611</v>
      </c>
      <c r="J21" t="s">
        <v>2</v>
      </c>
    </row>
    <row r="22" spans="1:10" x14ac:dyDescent="0.35">
      <c r="A22">
        <v>8</v>
      </c>
      <c r="B22" t="s">
        <v>68</v>
      </c>
      <c r="D22" t="s">
        <v>536</v>
      </c>
      <c r="E22" t="s">
        <v>537</v>
      </c>
      <c r="F22" t="s">
        <v>538</v>
      </c>
      <c r="G22" t="s">
        <v>380</v>
      </c>
      <c r="H22" s="3">
        <v>42005</v>
      </c>
      <c r="I22" s="6">
        <v>431520502</v>
      </c>
      <c r="J22" t="s">
        <v>2</v>
      </c>
    </row>
    <row r="23" spans="1:10" x14ac:dyDescent="0.35">
      <c r="A23">
        <v>9</v>
      </c>
      <c r="B23" t="s">
        <v>69</v>
      </c>
      <c r="C23" t="s">
        <v>1140</v>
      </c>
      <c r="D23" t="s">
        <v>536</v>
      </c>
      <c r="E23" t="s">
        <v>539</v>
      </c>
      <c r="F23" t="s">
        <v>423</v>
      </c>
      <c r="G23" t="s">
        <v>381</v>
      </c>
      <c r="H23" s="3">
        <v>42296</v>
      </c>
      <c r="I23" s="6">
        <v>432206605</v>
      </c>
      <c r="J23" t="s">
        <v>2</v>
      </c>
    </row>
    <row r="24" spans="1:10" x14ac:dyDescent="0.35">
      <c r="A24">
        <v>10</v>
      </c>
      <c r="B24" t="s">
        <v>70</v>
      </c>
      <c r="D24" t="s">
        <v>540</v>
      </c>
      <c r="E24" t="s">
        <v>541</v>
      </c>
      <c r="F24" t="s">
        <v>499</v>
      </c>
      <c r="G24" t="s">
        <v>380</v>
      </c>
      <c r="H24" s="3">
        <v>41983</v>
      </c>
      <c r="I24" s="6">
        <v>431987461</v>
      </c>
      <c r="J24" t="s">
        <v>2</v>
      </c>
    </row>
    <row r="25" spans="1:10" x14ac:dyDescent="0.35">
      <c r="A25">
        <v>11</v>
      </c>
      <c r="B25" t="s">
        <v>71</v>
      </c>
      <c r="D25" t="s">
        <v>407</v>
      </c>
      <c r="E25" t="s">
        <v>542</v>
      </c>
      <c r="F25" t="s">
        <v>543</v>
      </c>
      <c r="G25" t="s">
        <v>381</v>
      </c>
      <c r="H25" s="3">
        <v>42005</v>
      </c>
      <c r="I25" s="6">
        <v>792204886</v>
      </c>
      <c r="J25" t="s">
        <v>2</v>
      </c>
    </row>
    <row r="26" spans="1:10" x14ac:dyDescent="0.35">
      <c r="A26">
        <v>12</v>
      </c>
      <c r="B26" t="s">
        <v>72</v>
      </c>
      <c r="C26" t="s">
        <v>1139</v>
      </c>
      <c r="D26" t="s">
        <v>544</v>
      </c>
      <c r="E26" t="s">
        <v>545</v>
      </c>
      <c r="F26" t="s">
        <v>388</v>
      </c>
      <c r="G26" t="s">
        <v>381</v>
      </c>
      <c r="H26" s="3">
        <v>41553</v>
      </c>
      <c r="I26" s="6">
        <v>4311182861</v>
      </c>
      <c r="J26" t="s">
        <v>2</v>
      </c>
    </row>
    <row r="27" spans="1:10" x14ac:dyDescent="0.35">
      <c r="A27">
        <v>13</v>
      </c>
      <c r="B27" t="s">
        <v>73</v>
      </c>
      <c r="D27" t="s">
        <v>419</v>
      </c>
      <c r="E27" t="s">
        <v>546</v>
      </c>
      <c r="F27" t="s">
        <v>440</v>
      </c>
      <c r="G27" t="s">
        <v>381</v>
      </c>
      <c r="H27" s="3">
        <v>42043</v>
      </c>
      <c r="I27" s="6">
        <v>432216613</v>
      </c>
      <c r="J27" t="s">
        <v>2</v>
      </c>
    </row>
    <row r="28" spans="1:10" x14ac:dyDescent="0.35">
      <c r="A28">
        <v>14</v>
      </c>
      <c r="B28" t="s">
        <v>74</v>
      </c>
      <c r="C28" t="s">
        <v>1138</v>
      </c>
      <c r="D28" t="s">
        <v>419</v>
      </c>
      <c r="E28" t="s">
        <v>547</v>
      </c>
      <c r="F28" t="s">
        <v>379</v>
      </c>
      <c r="G28" t="s">
        <v>380</v>
      </c>
      <c r="H28" s="3">
        <v>42142</v>
      </c>
      <c r="I28" s="6">
        <v>432213273</v>
      </c>
      <c r="J28" t="s">
        <v>2</v>
      </c>
    </row>
    <row r="29" spans="1:10" x14ac:dyDescent="0.35">
      <c r="A29">
        <v>15</v>
      </c>
      <c r="B29" t="s">
        <v>75</v>
      </c>
      <c r="C29" t="s">
        <v>1137</v>
      </c>
      <c r="D29" t="s">
        <v>419</v>
      </c>
      <c r="E29" t="s">
        <v>548</v>
      </c>
      <c r="F29" t="s">
        <v>517</v>
      </c>
      <c r="G29" t="s">
        <v>380</v>
      </c>
      <c r="H29" s="3">
        <v>41636</v>
      </c>
      <c r="I29" s="6">
        <v>432307018</v>
      </c>
      <c r="J29" t="s">
        <v>2</v>
      </c>
    </row>
    <row r="30" spans="1:10" x14ac:dyDescent="0.35">
      <c r="A30">
        <v>16</v>
      </c>
      <c r="B30" t="s">
        <v>76</v>
      </c>
      <c r="C30" t="s">
        <v>1145</v>
      </c>
      <c r="D30" t="s">
        <v>419</v>
      </c>
      <c r="E30" t="s">
        <v>507</v>
      </c>
      <c r="F30" t="s">
        <v>446</v>
      </c>
      <c r="G30" t="s">
        <v>380</v>
      </c>
      <c r="H30" s="3">
        <v>41757</v>
      </c>
      <c r="I30" s="6">
        <v>411067437</v>
      </c>
      <c r="J30" t="s">
        <v>2</v>
      </c>
    </row>
    <row r="31" spans="1:10" x14ac:dyDescent="0.35">
      <c r="A31">
        <v>17</v>
      </c>
      <c r="B31" t="s">
        <v>77</v>
      </c>
      <c r="D31" t="s">
        <v>549</v>
      </c>
      <c r="E31" t="s">
        <v>395</v>
      </c>
      <c r="F31" t="s">
        <v>388</v>
      </c>
      <c r="G31" t="s">
        <v>381</v>
      </c>
      <c r="H31" s="3">
        <v>39570</v>
      </c>
      <c r="I31" s="6">
        <v>431744474</v>
      </c>
      <c r="J31" t="s">
        <v>2</v>
      </c>
    </row>
    <row r="32" spans="1:10" x14ac:dyDescent="0.35">
      <c r="A32">
        <v>18</v>
      </c>
      <c r="B32" t="s">
        <v>78</v>
      </c>
      <c r="D32" t="s">
        <v>427</v>
      </c>
      <c r="E32" t="s">
        <v>550</v>
      </c>
      <c r="F32" t="s">
        <v>423</v>
      </c>
      <c r="G32" t="s">
        <v>381</v>
      </c>
      <c r="H32" s="3">
        <v>40959</v>
      </c>
      <c r="I32" s="6">
        <v>101714163</v>
      </c>
      <c r="J32" t="s">
        <v>2</v>
      </c>
    </row>
    <row r="33" spans="1:10" x14ac:dyDescent="0.35">
      <c r="A33">
        <v>19</v>
      </c>
      <c r="B33" t="s">
        <v>79</v>
      </c>
      <c r="D33" t="s">
        <v>427</v>
      </c>
      <c r="E33" t="s">
        <v>551</v>
      </c>
      <c r="F33" t="s">
        <v>552</v>
      </c>
      <c r="G33" t="s">
        <v>381</v>
      </c>
      <c r="H33" s="3">
        <v>41381</v>
      </c>
      <c r="I33" s="6">
        <v>432302195</v>
      </c>
      <c r="J33" t="s">
        <v>2</v>
      </c>
    </row>
    <row r="34" spans="1:10" x14ac:dyDescent="0.35">
      <c r="A34">
        <v>20</v>
      </c>
      <c r="B34" t="s">
        <v>80</v>
      </c>
      <c r="C34" t="s">
        <v>1136</v>
      </c>
      <c r="D34" t="s">
        <v>427</v>
      </c>
      <c r="E34" t="s">
        <v>553</v>
      </c>
      <c r="F34" t="s">
        <v>440</v>
      </c>
      <c r="G34" t="s">
        <v>381</v>
      </c>
      <c r="H34" s="3">
        <v>42422</v>
      </c>
      <c r="I34" s="6">
        <v>432230143</v>
      </c>
      <c r="J34" t="s">
        <v>2</v>
      </c>
    </row>
    <row r="35" spans="1:10" x14ac:dyDescent="0.35">
      <c r="A35">
        <v>21</v>
      </c>
      <c r="B35" t="s">
        <v>81</v>
      </c>
      <c r="D35" t="s">
        <v>554</v>
      </c>
      <c r="E35" t="s">
        <v>555</v>
      </c>
      <c r="F35" t="s">
        <v>446</v>
      </c>
      <c r="G35" t="s">
        <v>381</v>
      </c>
      <c r="H35" s="3">
        <v>42027</v>
      </c>
      <c r="I35" s="6">
        <v>432123425</v>
      </c>
      <c r="J35" t="s">
        <v>2</v>
      </c>
    </row>
    <row r="36" spans="1:10" x14ac:dyDescent="0.35">
      <c r="A36">
        <v>22</v>
      </c>
      <c r="B36" t="s">
        <v>82</v>
      </c>
      <c r="D36" t="s">
        <v>554</v>
      </c>
      <c r="E36" t="s">
        <v>556</v>
      </c>
      <c r="F36" t="s">
        <v>423</v>
      </c>
      <c r="G36" t="s">
        <v>381</v>
      </c>
      <c r="H36" s="3">
        <v>42160</v>
      </c>
      <c r="I36" s="6">
        <v>432000244</v>
      </c>
      <c r="J36" t="s">
        <v>2</v>
      </c>
    </row>
    <row r="37" spans="1:10" x14ac:dyDescent="0.35">
      <c r="A37">
        <v>23</v>
      </c>
      <c r="B37" t="s">
        <v>83</v>
      </c>
      <c r="D37" t="s">
        <v>554</v>
      </c>
      <c r="E37" t="s">
        <v>557</v>
      </c>
      <c r="F37" t="s">
        <v>476</v>
      </c>
      <c r="G37" t="s">
        <v>380</v>
      </c>
      <c r="H37" s="3">
        <v>41077</v>
      </c>
      <c r="I37" s="6">
        <v>439999998</v>
      </c>
      <c r="J37" t="s">
        <v>2</v>
      </c>
    </row>
    <row r="38" spans="1:10" x14ac:dyDescent="0.35">
      <c r="A38">
        <v>24</v>
      </c>
      <c r="B38" t="s">
        <v>84</v>
      </c>
      <c r="D38" t="s">
        <v>558</v>
      </c>
      <c r="E38" t="s">
        <v>515</v>
      </c>
      <c r="F38" t="s">
        <v>492</v>
      </c>
      <c r="G38" t="s">
        <v>381</v>
      </c>
      <c r="H38" s="3">
        <v>40460</v>
      </c>
      <c r="I38" s="6">
        <v>431889668</v>
      </c>
      <c r="J38" t="s">
        <v>2</v>
      </c>
    </row>
    <row r="39" spans="1:10" x14ac:dyDescent="0.35">
      <c r="A39">
        <v>25</v>
      </c>
      <c r="B39" t="s">
        <v>85</v>
      </c>
      <c r="D39" t="s">
        <v>441</v>
      </c>
      <c r="E39" t="s">
        <v>559</v>
      </c>
      <c r="F39" t="s">
        <v>416</v>
      </c>
      <c r="G39" t="s">
        <v>380</v>
      </c>
      <c r="H39" s="3">
        <v>41534</v>
      </c>
      <c r="I39" s="6">
        <v>431983059</v>
      </c>
      <c r="J39" t="s">
        <v>2</v>
      </c>
    </row>
    <row r="40" spans="1:10" x14ac:dyDescent="0.35">
      <c r="A40">
        <v>26</v>
      </c>
      <c r="B40" t="s">
        <v>86</v>
      </c>
      <c r="D40" t="s">
        <v>560</v>
      </c>
      <c r="E40" t="s">
        <v>561</v>
      </c>
      <c r="F40" t="s">
        <v>423</v>
      </c>
      <c r="G40" t="s">
        <v>381</v>
      </c>
      <c r="H40" s="3">
        <v>41411</v>
      </c>
      <c r="I40" s="6">
        <v>431911746</v>
      </c>
      <c r="J40" t="s">
        <v>2</v>
      </c>
    </row>
    <row r="41" spans="1:10" x14ac:dyDescent="0.35">
      <c r="A41">
        <v>27</v>
      </c>
      <c r="B41" t="s">
        <v>87</v>
      </c>
      <c r="C41" t="s">
        <v>1135</v>
      </c>
      <c r="D41" t="s">
        <v>562</v>
      </c>
      <c r="E41" t="s">
        <v>563</v>
      </c>
      <c r="F41" t="s">
        <v>564</v>
      </c>
      <c r="G41" t="s">
        <v>381</v>
      </c>
      <c r="H41" s="3">
        <v>42237</v>
      </c>
      <c r="I41" s="6">
        <v>6011033411</v>
      </c>
      <c r="J41" t="s">
        <v>2</v>
      </c>
    </row>
    <row r="42" spans="1:10" x14ac:dyDescent="0.35">
      <c r="A42">
        <v>28</v>
      </c>
      <c r="B42" t="s">
        <v>88</v>
      </c>
      <c r="C42" t="s">
        <v>1134</v>
      </c>
      <c r="D42" t="s">
        <v>565</v>
      </c>
      <c r="E42" t="s">
        <v>566</v>
      </c>
      <c r="F42" t="s">
        <v>440</v>
      </c>
      <c r="G42" t="s">
        <v>381</v>
      </c>
      <c r="H42" s="3">
        <v>41741</v>
      </c>
      <c r="I42" s="6">
        <v>431519108</v>
      </c>
      <c r="J42" t="s">
        <v>2</v>
      </c>
    </row>
    <row r="43" spans="1:10" x14ac:dyDescent="0.35">
      <c r="A43">
        <v>29</v>
      </c>
      <c r="B43" t="s">
        <v>89</v>
      </c>
      <c r="D43" t="s">
        <v>456</v>
      </c>
      <c r="E43" t="s">
        <v>567</v>
      </c>
      <c r="F43" t="s">
        <v>416</v>
      </c>
      <c r="G43" t="s">
        <v>380</v>
      </c>
      <c r="H43" s="3">
        <v>41804</v>
      </c>
      <c r="I43" s="6">
        <v>341807044</v>
      </c>
      <c r="J43" t="s">
        <v>2</v>
      </c>
    </row>
    <row r="44" spans="1:10" x14ac:dyDescent="0.35">
      <c r="A44">
        <v>30</v>
      </c>
      <c r="B44" t="s">
        <v>90</v>
      </c>
      <c r="D44" t="s">
        <v>456</v>
      </c>
      <c r="E44" t="s">
        <v>568</v>
      </c>
      <c r="F44" t="s">
        <v>423</v>
      </c>
      <c r="G44" t="s">
        <v>381</v>
      </c>
      <c r="H44" s="3">
        <v>41134</v>
      </c>
      <c r="I44" s="6">
        <v>431902868</v>
      </c>
      <c r="J44" t="s">
        <v>2</v>
      </c>
    </row>
    <row r="45" spans="1:10" x14ac:dyDescent="0.35">
      <c r="A45">
        <v>31</v>
      </c>
      <c r="B45" t="s">
        <v>91</v>
      </c>
      <c r="C45" t="s">
        <v>1132</v>
      </c>
      <c r="D45" t="s">
        <v>456</v>
      </c>
      <c r="E45" t="s">
        <v>413</v>
      </c>
      <c r="F45" t="s">
        <v>429</v>
      </c>
      <c r="G45" t="s">
        <v>380</v>
      </c>
      <c r="H45" s="3">
        <v>42325</v>
      </c>
      <c r="I45" s="6">
        <v>264594649</v>
      </c>
      <c r="J45" t="s">
        <v>2</v>
      </c>
    </row>
    <row r="46" spans="1:10" x14ac:dyDescent="0.35">
      <c r="A46">
        <v>32</v>
      </c>
      <c r="B46" t="s">
        <v>92</v>
      </c>
      <c r="C46" t="s">
        <v>1131</v>
      </c>
      <c r="D46" t="s">
        <v>456</v>
      </c>
      <c r="E46" t="s">
        <v>569</v>
      </c>
      <c r="F46" t="s">
        <v>479</v>
      </c>
      <c r="G46" t="s">
        <v>381</v>
      </c>
      <c r="H46" s="3">
        <v>42030</v>
      </c>
      <c r="I46" s="6">
        <v>161506211</v>
      </c>
      <c r="J46" t="s">
        <v>2</v>
      </c>
    </row>
    <row r="47" spans="1:10" x14ac:dyDescent="0.35">
      <c r="A47">
        <v>33</v>
      </c>
      <c r="B47" t="s">
        <v>93</v>
      </c>
      <c r="C47" t="s">
        <v>1130</v>
      </c>
      <c r="D47" t="s">
        <v>456</v>
      </c>
      <c r="E47" t="s">
        <v>570</v>
      </c>
      <c r="F47" t="s">
        <v>571</v>
      </c>
      <c r="G47" t="s">
        <v>380</v>
      </c>
      <c r="H47" s="3">
        <v>42030</v>
      </c>
      <c r="I47" s="6">
        <v>161506210</v>
      </c>
      <c r="J47" t="s">
        <v>2</v>
      </c>
    </row>
    <row r="48" spans="1:10" x14ac:dyDescent="0.35">
      <c r="A48">
        <v>34</v>
      </c>
      <c r="B48" t="s">
        <v>94</v>
      </c>
      <c r="C48" t="s">
        <v>1129</v>
      </c>
      <c r="D48" t="s">
        <v>456</v>
      </c>
      <c r="E48" t="s">
        <v>572</v>
      </c>
      <c r="F48" t="s">
        <v>573</v>
      </c>
      <c r="G48" t="s">
        <v>380</v>
      </c>
      <c r="H48" s="3">
        <v>42298</v>
      </c>
      <c r="I48" s="6">
        <v>432307015</v>
      </c>
      <c r="J48" t="s">
        <v>2</v>
      </c>
    </row>
    <row r="49" spans="1:10" x14ac:dyDescent="0.35">
      <c r="A49">
        <v>35</v>
      </c>
      <c r="B49" t="s">
        <v>95</v>
      </c>
      <c r="D49" t="s">
        <v>456</v>
      </c>
      <c r="E49" t="s">
        <v>574</v>
      </c>
      <c r="F49" t="s">
        <v>414</v>
      </c>
      <c r="G49" t="s">
        <v>381</v>
      </c>
      <c r="H49" s="3">
        <v>40584</v>
      </c>
      <c r="I49" s="6">
        <v>439999997</v>
      </c>
      <c r="J49" t="s">
        <v>2</v>
      </c>
    </row>
    <row r="50" spans="1:10" x14ac:dyDescent="0.35">
      <c r="A50">
        <v>36</v>
      </c>
      <c r="B50" t="s">
        <v>96</v>
      </c>
      <c r="C50" t="s">
        <v>1128</v>
      </c>
      <c r="D50" t="s">
        <v>461</v>
      </c>
      <c r="E50" t="s">
        <v>575</v>
      </c>
      <c r="F50" t="s">
        <v>388</v>
      </c>
      <c r="G50" t="s">
        <v>381</v>
      </c>
      <c r="H50" s="3">
        <v>42005</v>
      </c>
      <c r="I50" s="6">
        <v>601405319</v>
      </c>
      <c r="J50" t="s">
        <v>2</v>
      </c>
    </row>
    <row r="51" spans="1:10" x14ac:dyDescent="0.35">
      <c r="A51">
        <v>37</v>
      </c>
      <c r="B51" t="s">
        <v>97</v>
      </c>
      <c r="D51" t="s">
        <v>461</v>
      </c>
      <c r="E51" t="s">
        <v>576</v>
      </c>
      <c r="F51" t="s">
        <v>577</v>
      </c>
      <c r="G51" t="s">
        <v>380</v>
      </c>
      <c r="H51" s="3">
        <v>41985</v>
      </c>
      <c r="I51" s="6">
        <v>432335592</v>
      </c>
      <c r="J51" t="s">
        <v>2</v>
      </c>
    </row>
    <row r="52" spans="1:10" x14ac:dyDescent="0.35">
      <c r="A52">
        <v>38</v>
      </c>
      <c r="B52" t="s">
        <v>98</v>
      </c>
      <c r="C52" t="s">
        <v>1126</v>
      </c>
      <c r="D52" t="s">
        <v>461</v>
      </c>
      <c r="E52" t="s">
        <v>578</v>
      </c>
      <c r="F52" t="s">
        <v>579</v>
      </c>
      <c r="G52" t="s">
        <v>381</v>
      </c>
      <c r="H52" s="3">
        <v>39415</v>
      </c>
      <c r="I52" s="6">
        <v>439004455</v>
      </c>
      <c r="J52" t="s">
        <v>2</v>
      </c>
    </row>
    <row r="53" spans="1:10" x14ac:dyDescent="0.35">
      <c r="A53">
        <v>39</v>
      </c>
      <c r="B53" t="s">
        <v>99</v>
      </c>
      <c r="D53" t="s">
        <v>461</v>
      </c>
      <c r="E53" t="s">
        <v>580</v>
      </c>
      <c r="F53" t="s">
        <v>581</v>
      </c>
      <c r="G53" t="s">
        <v>380</v>
      </c>
      <c r="H53" s="3">
        <v>41908</v>
      </c>
      <c r="I53" s="6">
        <v>431936677</v>
      </c>
      <c r="J53" t="s">
        <v>2</v>
      </c>
    </row>
    <row r="54" spans="1:10" x14ac:dyDescent="0.35">
      <c r="A54">
        <v>40</v>
      </c>
      <c r="B54" t="s">
        <v>100</v>
      </c>
      <c r="D54" t="s">
        <v>461</v>
      </c>
      <c r="E54" t="s">
        <v>582</v>
      </c>
      <c r="F54" t="s">
        <v>583</v>
      </c>
      <c r="G54" t="s">
        <v>380</v>
      </c>
      <c r="H54" s="3">
        <v>41479</v>
      </c>
      <c r="I54" s="6">
        <v>431333706</v>
      </c>
      <c r="J54" t="s">
        <v>2</v>
      </c>
    </row>
    <row r="55" spans="1:10" x14ac:dyDescent="0.35">
      <c r="A55">
        <v>41</v>
      </c>
      <c r="B55" t="s">
        <v>101</v>
      </c>
      <c r="D55" t="s">
        <v>584</v>
      </c>
      <c r="E55" t="s">
        <v>585</v>
      </c>
      <c r="F55" t="s">
        <v>421</v>
      </c>
      <c r="G55" t="s">
        <v>380</v>
      </c>
      <c r="H55" s="3">
        <v>41621</v>
      </c>
      <c r="I55" s="6">
        <v>431913958</v>
      </c>
      <c r="J55" t="s">
        <v>2</v>
      </c>
    </row>
    <row r="56" spans="1:10" x14ac:dyDescent="0.35">
      <c r="A56">
        <v>42</v>
      </c>
      <c r="B56" t="s">
        <v>102</v>
      </c>
      <c r="C56" t="s">
        <v>1125</v>
      </c>
      <c r="D56" t="s">
        <v>586</v>
      </c>
      <c r="E56" t="s">
        <v>523</v>
      </c>
      <c r="F56" t="s">
        <v>440</v>
      </c>
      <c r="G56" t="s">
        <v>381</v>
      </c>
      <c r="H56" s="3">
        <v>42377</v>
      </c>
      <c r="I56" s="6">
        <v>2462200120</v>
      </c>
      <c r="J56" t="s">
        <v>2</v>
      </c>
    </row>
    <row r="57" spans="1:10" x14ac:dyDescent="0.35">
      <c r="A57">
        <v>43</v>
      </c>
      <c r="B57" t="s">
        <v>103</v>
      </c>
      <c r="C57" t="s">
        <v>1124</v>
      </c>
      <c r="D57" t="s">
        <v>376</v>
      </c>
      <c r="E57" t="s">
        <v>587</v>
      </c>
      <c r="F57" t="s">
        <v>440</v>
      </c>
      <c r="G57" t="s">
        <v>381</v>
      </c>
      <c r="H57" s="3">
        <v>42385</v>
      </c>
      <c r="I57" s="6">
        <v>432129533</v>
      </c>
      <c r="J57" t="s">
        <v>2</v>
      </c>
    </row>
    <row r="58" spans="1:10" x14ac:dyDescent="0.35">
      <c r="A58">
        <v>44</v>
      </c>
      <c r="B58" t="s">
        <v>104</v>
      </c>
      <c r="C58" t="s">
        <v>1123</v>
      </c>
      <c r="D58" t="s">
        <v>376</v>
      </c>
      <c r="E58" t="s">
        <v>442</v>
      </c>
      <c r="F58" t="s">
        <v>379</v>
      </c>
      <c r="G58" t="s">
        <v>380</v>
      </c>
      <c r="H58" s="3">
        <v>41361</v>
      </c>
      <c r="I58" s="6">
        <v>432402859</v>
      </c>
      <c r="J58" t="s">
        <v>2</v>
      </c>
    </row>
    <row r="59" spans="1:10" x14ac:dyDescent="0.35">
      <c r="A59">
        <v>45</v>
      </c>
      <c r="B59" t="s">
        <v>105</v>
      </c>
      <c r="D59" t="s">
        <v>376</v>
      </c>
      <c r="E59" t="s">
        <v>588</v>
      </c>
      <c r="F59" t="s">
        <v>414</v>
      </c>
      <c r="G59" t="s">
        <v>380</v>
      </c>
      <c r="H59" s="3">
        <v>39919</v>
      </c>
      <c r="I59" s="6">
        <v>432138636</v>
      </c>
      <c r="J59" t="s">
        <v>2</v>
      </c>
    </row>
    <row r="60" spans="1:10" x14ac:dyDescent="0.35">
      <c r="A60">
        <v>46</v>
      </c>
      <c r="B60" t="s">
        <v>106</v>
      </c>
      <c r="D60" t="s">
        <v>376</v>
      </c>
      <c r="E60" t="s">
        <v>516</v>
      </c>
      <c r="F60" t="s">
        <v>414</v>
      </c>
      <c r="G60" t="s">
        <v>380</v>
      </c>
      <c r="H60" s="3">
        <v>42046</v>
      </c>
      <c r="I60" s="6">
        <v>432017548</v>
      </c>
      <c r="J60" t="s">
        <v>2</v>
      </c>
    </row>
    <row r="61" spans="1:10" x14ac:dyDescent="0.35">
      <c r="A61">
        <v>47</v>
      </c>
      <c r="B61" t="s">
        <v>107</v>
      </c>
      <c r="C61" t="s">
        <v>1122</v>
      </c>
      <c r="D61" t="s">
        <v>376</v>
      </c>
      <c r="E61" t="s">
        <v>589</v>
      </c>
      <c r="F61" t="s">
        <v>590</v>
      </c>
      <c r="G61" t="s">
        <v>381</v>
      </c>
      <c r="H61" s="3">
        <v>41941</v>
      </c>
      <c r="I61" s="6">
        <v>432402860</v>
      </c>
      <c r="J61" t="s">
        <v>2</v>
      </c>
    </row>
    <row r="62" spans="1:10" x14ac:dyDescent="0.35">
      <c r="A62">
        <v>48</v>
      </c>
      <c r="B62" t="s">
        <v>108</v>
      </c>
      <c r="C62" t="s">
        <v>1117</v>
      </c>
      <c r="D62" t="s">
        <v>382</v>
      </c>
      <c r="E62" t="s">
        <v>591</v>
      </c>
      <c r="F62" t="s">
        <v>464</v>
      </c>
      <c r="G62" t="s">
        <v>381</v>
      </c>
      <c r="H62" s="3">
        <v>42828</v>
      </c>
      <c r="I62" s="6">
        <v>432207905</v>
      </c>
      <c r="J62" t="s">
        <v>2</v>
      </c>
    </row>
    <row r="63" spans="1:10" x14ac:dyDescent="0.35">
      <c r="A63">
        <v>49</v>
      </c>
      <c r="B63" t="s">
        <v>109</v>
      </c>
      <c r="C63" t="s">
        <v>1120</v>
      </c>
      <c r="D63" t="s">
        <v>382</v>
      </c>
      <c r="E63" t="s">
        <v>592</v>
      </c>
      <c r="F63" t="s">
        <v>593</v>
      </c>
      <c r="G63" t="s">
        <v>380</v>
      </c>
      <c r="H63" s="3">
        <v>42571</v>
      </c>
      <c r="I63" s="6">
        <v>264618534</v>
      </c>
      <c r="J63" t="s">
        <v>2</v>
      </c>
    </row>
    <row r="64" spans="1:10" x14ac:dyDescent="0.35">
      <c r="A64">
        <v>50</v>
      </c>
      <c r="B64" t="s">
        <v>110</v>
      </c>
      <c r="C64" t="s">
        <v>1119</v>
      </c>
      <c r="D64" t="s">
        <v>484</v>
      </c>
      <c r="E64" t="s">
        <v>594</v>
      </c>
      <c r="F64" t="s">
        <v>379</v>
      </c>
      <c r="G64" t="s">
        <v>380</v>
      </c>
      <c r="H64" s="3">
        <v>41382</v>
      </c>
      <c r="I64" s="6">
        <v>41416242</v>
      </c>
      <c r="J64" t="s">
        <v>2</v>
      </c>
    </row>
    <row r="65" spans="1:10" x14ac:dyDescent="0.35">
      <c r="A65">
        <v>51</v>
      </c>
      <c r="B65" t="s">
        <v>111</v>
      </c>
      <c r="D65" t="s">
        <v>484</v>
      </c>
      <c r="E65" t="s">
        <v>533</v>
      </c>
      <c r="F65" t="s">
        <v>595</v>
      </c>
      <c r="G65" t="s">
        <v>380</v>
      </c>
      <c r="H65" s="3">
        <v>41479</v>
      </c>
      <c r="I65" s="6">
        <v>431990219</v>
      </c>
      <c r="J65" t="s">
        <v>2</v>
      </c>
    </row>
    <row r="66" spans="1:10" x14ac:dyDescent="0.35">
      <c r="A66">
        <v>52</v>
      </c>
      <c r="B66" t="s">
        <v>112</v>
      </c>
      <c r="C66" t="s">
        <v>1142</v>
      </c>
      <c r="D66" t="s">
        <v>596</v>
      </c>
      <c r="E66" t="s">
        <v>597</v>
      </c>
      <c r="F66" t="s">
        <v>388</v>
      </c>
      <c r="G66" t="s">
        <v>381</v>
      </c>
      <c r="H66" s="3">
        <v>41978</v>
      </c>
      <c r="I66" s="6">
        <v>431963751</v>
      </c>
      <c r="J66" t="s">
        <v>2</v>
      </c>
    </row>
    <row r="67" spans="1:10" ht="15" thickBot="1" x14ac:dyDescent="0.4">
      <c r="A67">
        <v>53</v>
      </c>
      <c r="B67" t="s">
        <v>113</v>
      </c>
      <c r="C67" t="s">
        <v>1118</v>
      </c>
      <c r="D67" t="s">
        <v>491</v>
      </c>
      <c r="E67" t="s">
        <v>598</v>
      </c>
      <c r="F67" t="s">
        <v>379</v>
      </c>
      <c r="G67" t="s">
        <v>380</v>
      </c>
      <c r="H67" s="3">
        <v>41020</v>
      </c>
      <c r="I67" s="6">
        <v>431983390</v>
      </c>
      <c r="J67" t="s">
        <v>2</v>
      </c>
    </row>
    <row r="68" spans="1:10" x14ac:dyDescent="0.35">
      <c r="A68">
        <v>54</v>
      </c>
      <c r="C68" s="18" t="s">
        <v>1113</v>
      </c>
      <c r="D68" s="18" t="s">
        <v>1115</v>
      </c>
      <c r="E68" t="s">
        <v>1114</v>
      </c>
    </row>
    <row r="69" spans="1:10" ht="14.5" customHeight="1" x14ac:dyDescent="0.35">
      <c r="A69">
        <v>55</v>
      </c>
      <c r="C69" t="s">
        <v>1121</v>
      </c>
      <c r="D69" t="s">
        <v>964</v>
      </c>
      <c r="E69" t="s">
        <v>969</v>
      </c>
      <c r="F69" t="s">
        <v>628</v>
      </c>
    </row>
    <row r="70" spans="1:10" x14ac:dyDescent="0.35">
      <c r="A70">
        <v>56</v>
      </c>
      <c r="C70" t="s">
        <v>1127</v>
      </c>
      <c r="D70" t="s">
        <v>1147</v>
      </c>
      <c r="E70" t="s">
        <v>576</v>
      </c>
      <c r="F70" t="s">
        <v>1146</v>
      </c>
      <c r="H70" s="3">
        <v>41985</v>
      </c>
      <c r="I70" s="6">
        <v>432335592</v>
      </c>
    </row>
    <row r="71" spans="1:10" ht="15" thickBot="1" x14ac:dyDescent="0.4">
      <c r="A71">
        <v>57</v>
      </c>
      <c r="C71" t="s">
        <v>1133</v>
      </c>
      <c r="D71" t="s">
        <v>1148</v>
      </c>
      <c r="E71" t="s">
        <v>510</v>
      </c>
      <c r="F71" t="s">
        <v>656</v>
      </c>
      <c r="I71" s="6">
        <v>432219733</v>
      </c>
    </row>
    <row r="72" spans="1:10" ht="14.5" customHeight="1" thickBot="1" x14ac:dyDescent="0.4">
      <c r="A72">
        <v>58</v>
      </c>
      <c r="C72" s="19" t="s">
        <v>1144</v>
      </c>
      <c r="D72" s="19" t="s">
        <v>964</v>
      </c>
      <c r="E72" s="19" t="s">
        <v>967</v>
      </c>
      <c r="F72" s="19" t="s">
        <v>653</v>
      </c>
      <c r="H72" s="20">
        <v>41548</v>
      </c>
    </row>
    <row r="73" spans="1:10" x14ac:dyDescent="0.35">
      <c r="A73">
        <v>59</v>
      </c>
      <c r="C73" s="21" t="s">
        <v>1143</v>
      </c>
      <c r="D73" s="21" t="s">
        <v>1150</v>
      </c>
      <c r="E73" t="s">
        <v>1149</v>
      </c>
      <c r="F73" t="s">
        <v>703</v>
      </c>
    </row>
    <row r="74" spans="1:10" x14ac:dyDescent="0.35">
      <c r="A74">
        <v>60</v>
      </c>
    </row>
  </sheetData>
  <autoFilter ref="A14:J72" xr:uid="{4E8EB6DC-8F1B-48D2-8B9E-FD86B602203D}"/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0AAE-A676-4591-9A8A-39446138AF30}">
  <dimension ref="A1:J102"/>
  <sheetViews>
    <sheetView topLeftCell="H13" zoomScale="88" workbookViewId="0">
      <selection activeCell="D23" sqref="D23"/>
    </sheetView>
  </sheetViews>
  <sheetFormatPr defaultColWidth="29.7265625" defaultRowHeight="14.5" x14ac:dyDescent="0.35"/>
  <cols>
    <col min="1" max="1" width="5.08984375" bestFit="1" customWidth="1"/>
    <col min="2" max="2" width="11.36328125" bestFit="1" customWidth="1"/>
    <col min="3" max="3" width="14.7265625" bestFit="1" customWidth="1"/>
    <col min="4" max="4" width="31.1796875" bestFit="1" customWidth="1"/>
    <col min="5" max="5" width="12.7265625" bestFit="1" customWidth="1"/>
    <col min="6" max="6" width="12.453125" bestFit="1" customWidth="1"/>
    <col min="7" max="7" width="6.81640625" bestFit="1" customWidth="1"/>
    <col min="8" max="8" width="11.26953125" bestFit="1" customWidth="1"/>
    <col min="9" max="9" width="21.26953125" style="6" bestFit="1" customWidth="1"/>
    <col min="10" max="10" width="20.08984375" bestFit="1" customWidth="1"/>
  </cols>
  <sheetData>
    <row r="1" spans="1:10" ht="14.5" customHeight="1" x14ac:dyDescent="0.35">
      <c r="A1" s="38" t="s">
        <v>929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customHeight="1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4.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 ht="14.5" customHeight="1" x14ac:dyDescent="0.35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0" ht="14.5" customHeight="1" x14ac:dyDescent="0.35">
      <c r="A5" s="38"/>
      <c r="B5" s="38"/>
      <c r="C5" s="38"/>
      <c r="D5" s="38"/>
      <c r="E5" s="38"/>
      <c r="F5" s="38"/>
      <c r="G5" s="38"/>
      <c r="H5" s="38"/>
      <c r="I5" s="38"/>
      <c r="J5" s="38"/>
    </row>
    <row r="6" spans="1:10" ht="14.5" customHeight="1" x14ac:dyDescent="0.35">
      <c r="A6" s="38"/>
      <c r="B6" s="38"/>
      <c r="C6" s="38"/>
      <c r="D6" s="38"/>
      <c r="E6" s="38"/>
      <c r="F6" s="38"/>
      <c r="G6" s="38"/>
      <c r="H6" s="38"/>
      <c r="I6" s="38"/>
      <c r="J6" s="38"/>
    </row>
    <row r="7" spans="1:10" ht="14.5" customHeight="1" x14ac:dyDescent="0.35">
      <c r="A7" s="38"/>
      <c r="B7" s="38"/>
      <c r="C7" s="38"/>
      <c r="D7" s="38"/>
      <c r="E7" s="38"/>
      <c r="F7" s="38"/>
      <c r="G7" s="38"/>
      <c r="H7" s="38"/>
      <c r="I7" s="38"/>
      <c r="J7" s="38"/>
    </row>
    <row r="8" spans="1:10" ht="14.5" customHeight="1" x14ac:dyDescent="0.35">
      <c r="A8" s="38"/>
      <c r="B8" s="38"/>
      <c r="C8" s="38"/>
      <c r="D8" s="38"/>
      <c r="E8" s="38"/>
      <c r="F8" s="38"/>
      <c r="G8" s="38"/>
      <c r="H8" s="38"/>
      <c r="I8" s="38"/>
      <c r="J8" s="38"/>
    </row>
    <row r="9" spans="1:10" ht="14.5" customHeight="1" x14ac:dyDescent="0.35">
      <c r="A9" s="38"/>
      <c r="B9" s="38"/>
      <c r="C9" s="38"/>
      <c r="D9" s="38"/>
      <c r="E9" s="38"/>
      <c r="F9" s="38"/>
      <c r="G9" s="38"/>
      <c r="H9" s="38"/>
      <c r="I9" s="38"/>
      <c r="J9" s="38"/>
    </row>
    <row r="10" spans="1:10" ht="14.5" customHeight="1" x14ac:dyDescent="0.35">
      <c r="A10" s="38"/>
      <c r="B10" s="38"/>
      <c r="C10" s="38"/>
      <c r="D10" s="38"/>
      <c r="E10" s="38"/>
      <c r="F10" s="38"/>
      <c r="G10" s="38"/>
      <c r="H10" s="38"/>
      <c r="I10" s="38"/>
      <c r="J10" s="38"/>
    </row>
    <row r="11" spans="1:10" ht="14.5" customHeight="1" x14ac:dyDescent="0.35">
      <c r="A11" s="38"/>
      <c r="B11" s="38"/>
      <c r="C11" s="38"/>
      <c r="D11" s="38"/>
      <c r="E11" s="38"/>
      <c r="F11" s="38"/>
      <c r="G11" s="38"/>
      <c r="H11" s="38"/>
      <c r="I11" s="38"/>
      <c r="J11" s="38"/>
    </row>
    <row r="12" spans="1:10" ht="14.5" customHeight="1" x14ac:dyDescent="0.35">
      <c r="A12" s="38"/>
      <c r="B12" s="38"/>
      <c r="C12" s="38"/>
      <c r="D12" s="38"/>
      <c r="E12" s="38"/>
      <c r="F12" s="38"/>
      <c r="G12" s="38"/>
      <c r="H12" s="38"/>
      <c r="I12" s="38"/>
      <c r="J12" s="38"/>
    </row>
    <row r="13" spans="1:10" ht="14.5" customHeight="1" x14ac:dyDescent="0.35">
      <c r="A13" s="38"/>
      <c r="B13" s="38"/>
      <c r="C13" s="38"/>
      <c r="D13" s="38"/>
      <c r="E13" s="38"/>
      <c r="F13" s="38"/>
      <c r="G13" s="38"/>
      <c r="H13" s="38"/>
      <c r="I13" s="38"/>
      <c r="J13" s="38"/>
    </row>
    <row r="14" spans="1:10" s="5" customFormat="1" x14ac:dyDescent="0.35">
      <c r="A14" s="10" t="s">
        <v>930</v>
      </c>
      <c r="B14" s="2" t="s">
        <v>378</v>
      </c>
      <c r="C14" s="2" t="s">
        <v>493</v>
      </c>
      <c r="D14" s="2" t="s">
        <v>385</v>
      </c>
      <c r="E14" s="2" t="s">
        <v>384</v>
      </c>
      <c r="F14" s="2" t="s">
        <v>931</v>
      </c>
      <c r="G14" s="2" t="s">
        <v>0</v>
      </c>
      <c r="H14" s="2" t="s">
        <v>1</v>
      </c>
      <c r="I14" s="14" t="s">
        <v>932</v>
      </c>
      <c r="J14" s="9" t="s">
        <v>933</v>
      </c>
    </row>
    <row r="15" spans="1:10" s="5" customFormat="1" x14ac:dyDescent="0.35">
      <c r="A15" s="5" cm="1">
        <f t="array" ref="A15:A74">_xlfn.SEQUENCE(60)</f>
        <v>1</v>
      </c>
      <c r="B15" s="5" t="s">
        <v>124</v>
      </c>
      <c r="D15" s="5" t="s">
        <v>522</v>
      </c>
      <c r="E15" s="5" t="s">
        <v>523</v>
      </c>
      <c r="F15" s="5" t="s">
        <v>599</v>
      </c>
      <c r="G15" s="5" t="s">
        <v>380</v>
      </c>
      <c r="H15" s="12">
        <v>42170</v>
      </c>
      <c r="I15" s="5">
        <v>432224229</v>
      </c>
      <c r="J15" s="5" t="s">
        <v>2</v>
      </c>
    </row>
    <row r="16" spans="1:10" s="5" customFormat="1" x14ac:dyDescent="0.35">
      <c r="A16" s="5">
        <v>2</v>
      </c>
      <c r="B16" s="5" t="s">
        <v>125</v>
      </c>
      <c r="D16" s="5" t="s">
        <v>600</v>
      </c>
      <c r="E16" s="5" t="s">
        <v>601</v>
      </c>
      <c r="F16" s="5" t="s">
        <v>401</v>
      </c>
      <c r="G16" s="5" t="s">
        <v>381</v>
      </c>
      <c r="H16" s="12">
        <v>39005</v>
      </c>
      <c r="I16" s="5" t="s">
        <v>126</v>
      </c>
      <c r="J16" s="5" t="s">
        <v>2</v>
      </c>
    </row>
    <row r="17" spans="1:10" s="5" customFormat="1" x14ac:dyDescent="0.35">
      <c r="A17" s="5">
        <v>3</v>
      </c>
      <c r="B17" s="5" t="s">
        <v>127</v>
      </c>
      <c r="D17" s="5" t="s">
        <v>602</v>
      </c>
      <c r="E17" s="5" t="s">
        <v>603</v>
      </c>
      <c r="F17" s="5" t="s">
        <v>379</v>
      </c>
      <c r="G17" s="5" t="s">
        <v>380</v>
      </c>
      <c r="H17" s="12">
        <v>41560</v>
      </c>
      <c r="I17" s="5">
        <v>431984088</v>
      </c>
      <c r="J17" s="5" t="s">
        <v>2</v>
      </c>
    </row>
    <row r="18" spans="1:10" s="5" customFormat="1" x14ac:dyDescent="0.35">
      <c r="A18" s="5">
        <v>4</v>
      </c>
      <c r="B18" s="5" t="s">
        <v>128</v>
      </c>
      <c r="D18" s="5" t="s">
        <v>604</v>
      </c>
      <c r="E18" s="5" t="s">
        <v>605</v>
      </c>
      <c r="F18" s="5" t="s">
        <v>379</v>
      </c>
      <c r="G18" s="5" t="s">
        <v>380</v>
      </c>
      <c r="H18" s="12">
        <v>43181</v>
      </c>
      <c r="I18" s="5">
        <v>431863706</v>
      </c>
      <c r="J18" s="5" t="s">
        <v>2</v>
      </c>
    </row>
    <row r="19" spans="1:10" s="5" customFormat="1" x14ac:dyDescent="0.35">
      <c r="A19" s="5">
        <v>5</v>
      </c>
      <c r="B19" s="5" t="s">
        <v>129</v>
      </c>
      <c r="D19" s="5" t="s">
        <v>606</v>
      </c>
      <c r="E19" s="5" t="s">
        <v>582</v>
      </c>
      <c r="F19" s="5" t="s">
        <v>607</v>
      </c>
      <c r="G19" s="5" t="s">
        <v>380</v>
      </c>
      <c r="H19" s="12">
        <v>43184</v>
      </c>
      <c r="I19" s="5">
        <v>431606532</v>
      </c>
      <c r="J19" s="5" t="s">
        <v>2</v>
      </c>
    </row>
    <row r="20" spans="1:10" s="5" customFormat="1" x14ac:dyDescent="0.35">
      <c r="A20" s="5">
        <v>6</v>
      </c>
      <c r="B20" s="5" t="s">
        <v>130</v>
      </c>
      <c r="D20" s="5" t="s">
        <v>608</v>
      </c>
      <c r="E20" s="5" t="s">
        <v>609</v>
      </c>
      <c r="F20" s="5" t="s">
        <v>571</v>
      </c>
      <c r="G20" s="5" t="s">
        <v>380</v>
      </c>
      <c r="H20" s="12">
        <v>40669</v>
      </c>
      <c r="I20" s="5">
        <v>431984070</v>
      </c>
      <c r="J20" s="5" t="s">
        <v>2</v>
      </c>
    </row>
    <row r="21" spans="1:10" s="5" customFormat="1" x14ac:dyDescent="0.35">
      <c r="A21" s="5">
        <v>7</v>
      </c>
      <c r="B21" s="5" t="s">
        <v>131</v>
      </c>
      <c r="D21" s="5" t="s">
        <v>610</v>
      </c>
      <c r="E21" s="5" t="s">
        <v>611</v>
      </c>
      <c r="F21" s="5" t="s">
        <v>499</v>
      </c>
      <c r="G21" s="5" t="s">
        <v>381</v>
      </c>
      <c r="H21" s="12">
        <v>43184</v>
      </c>
      <c r="I21" s="5">
        <v>792204887</v>
      </c>
      <c r="J21" s="5" t="s">
        <v>2</v>
      </c>
    </row>
    <row r="22" spans="1:10" s="5" customFormat="1" x14ac:dyDescent="0.35">
      <c r="A22" s="5">
        <v>8</v>
      </c>
      <c r="B22" s="5" t="s">
        <v>132</v>
      </c>
      <c r="D22" s="5" t="s">
        <v>612</v>
      </c>
      <c r="E22" s="5" t="s">
        <v>570</v>
      </c>
      <c r="F22" s="5" t="s">
        <v>613</v>
      </c>
      <c r="G22" s="5" t="s">
        <v>380</v>
      </c>
      <c r="H22" s="12">
        <v>42208</v>
      </c>
      <c r="I22" s="5">
        <v>431997563</v>
      </c>
      <c r="J22" s="5" t="s">
        <v>2</v>
      </c>
    </row>
    <row r="23" spans="1:10" s="5" customFormat="1" x14ac:dyDescent="0.35">
      <c r="A23" s="5">
        <v>9</v>
      </c>
      <c r="B23" s="5" t="s">
        <v>133</v>
      </c>
      <c r="D23" s="5" t="s">
        <v>412</v>
      </c>
      <c r="E23" s="5" t="s">
        <v>614</v>
      </c>
      <c r="F23" s="5" t="s">
        <v>571</v>
      </c>
      <c r="G23" s="5" t="s">
        <v>380</v>
      </c>
      <c r="H23" s="12">
        <v>41614</v>
      </c>
      <c r="I23" s="5" t="s">
        <v>134</v>
      </c>
      <c r="J23" s="5" t="s">
        <v>2</v>
      </c>
    </row>
    <row r="24" spans="1:10" s="5" customFormat="1" x14ac:dyDescent="0.35">
      <c r="A24" s="5">
        <v>10</v>
      </c>
      <c r="B24" s="5" t="s">
        <v>135</v>
      </c>
      <c r="D24" s="5" t="s">
        <v>419</v>
      </c>
      <c r="E24" s="5" t="s">
        <v>567</v>
      </c>
      <c r="F24" s="5" t="s">
        <v>414</v>
      </c>
      <c r="G24" s="5" t="s">
        <v>380</v>
      </c>
      <c r="H24" s="12">
        <v>41804</v>
      </c>
      <c r="I24" s="5">
        <v>341807044</v>
      </c>
      <c r="J24" s="5" t="s">
        <v>2</v>
      </c>
    </row>
    <row r="25" spans="1:10" s="5" customFormat="1" x14ac:dyDescent="0.35">
      <c r="A25" s="5">
        <v>11</v>
      </c>
      <c r="B25" s="5" t="s">
        <v>136</v>
      </c>
      <c r="D25" s="5" t="s">
        <v>419</v>
      </c>
      <c r="E25" s="5" t="s">
        <v>615</v>
      </c>
      <c r="F25" s="5" t="s">
        <v>571</v>
      </c>
      <c r="G25" s="5" t="s">
        <v>380</v>
      </c>
      <c r="H25" s="12">
        <v>41480</v>
      </c>
      <c r="I25" s="5">
        <v>432000418</v>
      </c>
      <c r="J25" s="5" t="s">
        <v>2</v>
      </c>
    </row>
    <row r="26" spans="1:10" s="5" customFormat="1" x14ac:dyDescent="0.35">
      <c r="A26" s="5">
        <v>12</v>
      </c>
      <c r="B26" s="5" t="s">
        <v>137</v>
      </c>
      <c r="D26" s="5" t="s">
        <v>419</v>
      </c>
      <c r="E26" s="5" t="s">
        <v>541</v>
      </c>
      <c r="F26" s="5" t="s">
        <v>616</v>
      </c>
      <c r="G26" s="5" t="s">
        <v>380</v>
      </c>
      <c r="H26" s="12">
        <v>41680</v>
      </c>
      <c r="I26" s="5">
        <v>431987461</v>
      </c>
      <c r="J26" s="5" t="s">
        <v>2</v>
      </c>
    </row>
    <row r="27" spans="1:10" s="5" customFormat="1" ht="15" thickBot="1" x14ac:dyDescent="0.4">
      <c r="A27" s="5">
        <v>13</v>
      </c>
      <c r="B27" s="5" t="s">
        <v>138</v>
      </c>
      <c r="D27" s="5" t="s">
        <v>419</v>
      </c>
      <c r="E27" s="5" t="s">
        <v>507</v>
      </c>
      <c r="F27" s="5" t="s">
        <v>446</v>
      </c>
      <c r="G27" s="5" t="s">
        <v>381</v>
      </c>
      <c r="H27" s="12">
        <v>41698</v>
      </c>
      <c r="I27" s="5">
        <v>431963765</v>
      </c>
      <c r="J27" s="5" t="s">
        <v>2</v>
      </c>
    </row>
    <row r="28" spans="1:10" s="5" customFormat="1" ht="15" thickBot="1" x14ac:dyDescent="0.4">
      <c r="A28" s="5">
        <v>14</v>
      </c>
      <c r="B28" s="5" t="s">
        <v>139</v>
      </c>
      <c r="C28" s="22" t="s">
        <v>1158</v>
      </c>
      <c r="D28" s="5" t="s">
        <v>419</v>
      </c>
      <c r="E28" s="5" t="s">
        <v>617</v>
      </c>
      <c r="F28" s="5" t="s">
        <v>618</v>
      </c>
      <c r="G28" s="5" t="s">
        <v>380</v>
      </c>
      <c r="H28" s="12">
        <v>41384</v>
      </c>
      <c r="I28" s="5">
        <v>432127643</v>
      </c>
      <c r="J28" s="5" t="s">
        <v>2</v>
      </c>
    </row>
    <row r="29" spans="1:10" s="5" customFormat="1" x14ac:dyDescent="0.35">
      <c r="A29" s="5">
        <v>15</v>
      </c>
      <c r="B29" s="5" t="s">
        <v>140</v>
      </c>
      <c r="C29" s="23" t="s">
        <v>1159</v>
      </c>
      <c r="D29" s="5" t="s">
        <v>427</v>
      </c>
      <c r="E29" s="5" t="s">
        <v>619</v>
      </c>
      <c r="F29" s="5" t="s">
        <v>401</v>
      </c>
      <c r="G29" s="5" t="s">
        <v>381</v>
      </c>
      <c r="H29" s="12">
        <v>42562</v>
      </c>
      <c r="I29" s="5">
        <v>431615751</v>
      </c>
      <c r="J29" s="5" t="s">
        <v>2</v>
      </c>
    </row>
    <row r="30" spans="1:10" s="5" customFormat="1" x14ac:dyDescent="0.35">
      <c r="A30" s="5">
        <v>16</v>
      </c>
      <c r="B30" s="5" t="s">
        <v>141</v>
      </c>
      <c r="D30" s="5" t="s">
        <v>439</v>
      </c>
      <c r="E30" s="5" t="s">
        <v>620</v>
      </c>
      <c r="F30" s="5" t="s">
        <v>379</v>
      </c>
      <c r="G30" s="5" t="s">
        <v>380</v>
      </c>
      <c r="H30" s="12">
        <v>41560</v>
      </c>
      <c r="I30" s="5">
        <v>431984088</v>
      </c>
      <c r="J30" s="5" t="s">
        <v>2</v>
      </c>
    </row>
    <row r="31" spans="1:10" s="5" customFormat="1" x14ac:dyDescent="0.35">
      <c r="A31" s="5">
        <v>17</v>
      </c>
      <c r="B31" s="5" t="s">
        <v>142</v>
      </c>
      <c r="D31" s="5" t="s">
        <v>621</v>
      </c>
      <c r="E31" s="5" t="s">
        <v>477</v>
      </c>
      <c r="F31" s="5" t="s">
        <v>622</v>
      </c>
      <c r="G31" s="5" t="s">
        <v>380</v>
      </c>
      <c r="H31" s="12">
        <v>41671</v>
      </c>
      <c r="I31" s="5">
        <v>601803477</v>
      </c>
      <c r="J31" s="5" t="s">
        <v>2</v>
      </c>
    </row>
    <row r="32" spans="1:10" s="5" customFormat="1" ht="15" thickBot="1" x14ac:dyDescent="0.4">
      <c r="A32" s="5">
        <v>18</v>
      </c>
      <c r="B32" s="5" t="s">
        <v>143</v>
      </c>
      <c r="D32" s="5" t="s">
        <v>447</v>
      </c>
      <c r="E32" s="5" t="s">
        <v>462</v>
      </c>
      <c r="F32" s="5" t="s">
        <v>416</v>
      </c>
      <c r="G32" s="5" t="s">
        <v>380</v>
      </c>
      <c r="H32" s="12">
        <v>41859</v>
      </c>
      <c r="I32" s="5">
        <v>261427073</v>
      </c>
      <c r="J32" s="5" t="s">
        <v>2</v>
      </c>
    </row>
    <row r="33" spans="1:10" s="5" customFormat="1" ht="15" thickBot="1" x14ac:dyDescent="0.4">
      <c r="A33" s="5">
        <v>19</v>
      </c>
      <c r="B33" s="5" t="s">
        <v>144</v>
      </c>
      <c r="C33" s="22" t="s">
        <v>1151</v>
      </c>
      <c r="D33" s="5" t="s">
        <v>623</v>
      </c>
      <c r="E33" s="5" t="s">
        <v>624</v>
      </c>
      <c r="F33" s="5" t="s">
        <v>571</v>
      </c>
      <c r="G33" s="5" t="s">
        <v>380</v>
      </c>
      <c r="H33" s="12">
        <v>41792</v>
      </c>
      <c r="I33" s="5">
        <v>432227363</v>
      </c>
      <c r="J33" s="5" t="s">
        <v>2</v>
      </c>
    </row>
    <row r="34" spans="1:10" s="5" customFormat="1" ht="15" thickBot="1" x14ac:dyDescent="0.4">
      <c r="A34" s="5">
        <v>20</v>
      </c>
      <c r="B34" s="5" t="s">
        <v>145</v>
      </c>
      <c r="C34" s="23" t="s">
        <v>1152</v>
      </c>
      <c r="D34" s="5" t="s">
        <v>565</v>
      </c>
      <c r="E34" s="5" t="s">
        <v>625</v>
      </c>
      <c r="F34" s="5" t="s">
        <v>486</v>
      </c>
      <c r="G34" s="5" t="s">
        <v>381</v>
      </c>
      <c r="H34" s="12">
        <v>42149</v>
      </c>
      <c r="I34" s="5" t="s">
        <v>146</v>
      </c>
      <c r="J34" s="5" t="s">
        <v>2</v>
      </c>
    </row>
    <row r="35" spans="1:10" s="5" customFormat="1" ht="15" thickBot="1" x14ac:dyDescent="0.4">
      <c r="A35" s="5">
        <v>21</v>
      </c>
      <c r="B35" s="5" t="s">
        <v>147</v>
      </c>
      <c r="C35" s="22" t="s">
        <v>1153</v>
      </c>
      <c r="D35" s="5" t="s">
        <v>626</v>
      </c>
      <c r="E35" s="5" t="s">
        <v>627</v>
      </c>
      <c r="F35" s="5" t="s">
        <v>379</v>
      </c>
      <c r="G35" s="5" t="s">
        <v>380</v>
      </c>
      <c r="H35" s="12">
        <v>41096</v>
      </c>
      <c r="I35" s="5">
        <v>432122701</v>
      </c>
      <c r="J35" s="5" t="s">
        <v>2</v>
      </c>
    </row>
    <row r="36" spans="1:10" s="5" customFormat="1" x14ac:dyDescent="0.35">
      <c r="A36" s="5">
        <v>22</v>
      </c>
      <c r="B36" s="5" t="s">
        <v>148</v>
      </c>
      <c r="C36" s="23" t="s">
        <v>1162</v>
      </c>
      <c r="D36" s="5" t="s">
        <v>461</v>
      </c>
      <c r="E36" s="5" t="s">
        <v>601</v>
      </c>
      <c r="F36" s="5" t="s">
        <v>388</v>
      </c>
      <c r="G36" s="5" t="s">
        <v>381</v>
      </c>
      <c r="H36" s="12">
        <v>41149</v>
      </c>
      <c r="I36" s="5">
        <v>431536306</v>
      </c>
      <c r="J36" s="5" t="s">
        <v>2</v>
      </c>
    </row>
    <row r="37" spans="1:10" s="5" customFormat="1" ht="15" thickBot="1" x14ac:dyDescent="0.4">
      <c r="A37" s="5">
        <v>23</v>
      </c>
      <c r="B37" s="5" t="s">
        <v>149</v>
      </c>
      <c r="D37" s="5" t="s">
        <v>461</v>
      </c>
      <c r="E37" s="5" t="s">
        <v>628</v>
      </c>
      <c r="F37" s="5" t="s">
        <v>629</v>
      </c>
      <c r="G37" s="5" t="s">
        <v>380</v>
      </c>
      <c r="H37" s="12">
        <v>41543</v>
      </c>
      <c r="I37" s="5">
        <v>432307017</v>
      </c>
      <c r="J37" s="5" t="s">
        <v>2</v>
      </c>
    </row>
    <row r="38" spans="1:10" s="5" customFormat="1" x14ac:dyDescent="0.35">
      <c r="A38" s="5">
        <v>24</v>
      </c>
      <c r="B38" s="5" t="s">
        <v>150</v>
      </c>
      <c r="C38" s="23" t="s">
        <v>1185</v>
      </c>
      <c r="D38" s="5" t="s">
        <v>461</v>
      </c>
      <c r="E38" s="5" t="s">
        <v>630</v>
      </c>
      <c r="F38" s="5" t="s">
        <v>440</v>
      </c>
      <c r="G38" s="5" t="s">
        <v>381</v>
      </c>
      <c r="H38" s="12">
        <v>41715</v>
      </c>
      <c r="I38" s="5">
        <v>431411409</v>
      </c>
      <c r="J38" s="5" t="s">
        <v>2</v>
      </c>
    </row>
    <row r="39" spans="1:10" s="5" customFormat="1" x14ac:dyDescent="0.35">
      <c r="A39" s="5">
        <v>25</v>
      </c>
      <c r="B39" s="5" t="s">
        <v>151</v>
      </c>
      <c r="D39" s="5" t="s">
        <v>461</v>
      </c>
      <c r="E39" s="5" t="s">
        <v>408</v>
      </c>
      <c r="F39" s="5" t="s">
        <v>423</v>
      </c>
      <c r="G39" s="5" t="s">
        <v>381</v>
      </c>
      <c r="H39" s="12">
        <v>41946</v>
      </c>
      <c r="I39" s="5">
        <v>431536305</v>
      </c>
      <c r="J39" s="5" t="s">
        <v>2</v>
      </c>
    </row>
    <row r="40" spans="1:10" s="5" customFormat="1" x14ac:dyDescent="0.35">
      <c r="A40" s="5">
        <v>26</v>
      </c>
      <c r="B40" s="5" t="s">
        <v>152</v>
      </c>
      <c r="D40" s="5" t="s">
        <v>631</v>
      </c>
      <c r="E40" s="5" t="s">
        <v>418</v>
      </c>
      <c r="F40" s="5" t="s">
        <v>632</v>
      </c>
      <c r="G40" s="5" t="s">
        <v>380</v>
      </c>
      <c r="H40" s="12">
        <v>40881</v>
      </c>
      <c r="I40" s="5">
        <v>431417923</v>
      </c>
      <c r="J40" s="5" t="s">
        <v>2</v>
      </c>
    </row>
    <row r="41" spans="1:10" s="5" customFormat="1" x14ac:dyDescent="0.35">
      <c r="A41" s="5">
        <v>27</v>
      </c>
      <c r="B41" s="5" t="s">
        <v>153</v>
      </c>
      <c r="D41" s="5" t="s">
        <v>633</v>
      </c>
      <c r="E41" s="5" t="s">
        <v>634</v>
      </c>
      <c r="F41" s="5" t="s">
        <v>388</v>
      </c>
      <c r="G41" s="5" t="s">
        <v>381</v>
      </c>
      <c r="H41" s="12">
        <v>41547</v>
      </c>
      <c r="I41" s="5">
        <v>331412192</v>
      </c>
      <c r="J41" s="5" t="s">
        <v>2</v>
      </c>
    </row>
    <row r="42" spans="1:10" s="5" customFormat="1" x14ac:dyDescent="0.35">
      <c r="A42" s="5">
        <v>28</v>
      </c>
      <c r="B42" s="5" t="s">
        <v>154</v>
      </c>
      <c r="D42" s="5" t="s">
        <v>376</v>
      </c>
      <c r="E42" s="5" t="s">
        <v>472</v>
      </c>
      <c r="F42" s="5" t="s">
        <v>443</v>
      </c>
      <c r="G42" s="5" t="s">
        <v>380</v>
      </c>
      <c r="H42" s="12">
        <v>40743</v>
      </c>
      <c r="I42" s="5">
        <v>432203230</v>
      </c>
      <c r="J42" s="5" t="s">
        <v>2</v>
      </c>
    </row>
    <row r="43" spans="1:10" s="5" customFormat="1" x14ac:dyDescent="0.35">
      <c r="A43" s="5">
        <v>29</v>
      </c>
      <c r="B43" s="5" t="s">
        <v>155</v>
      </c>
      <c r="D43" s="5" t="s">
        <v>376</v>
      </c>
      <c r="E43" s="5" t="s">
        <v>635</v>
      </c>
      <c r="F43" s="5" t="s">
        <v>464</v>
      </c>
      <c r="G43" s="5" t="s">
        <v>381</v>
      </c>
      <c r="H43" s="12">
        <v>41976</v>
      </c>
      <c r="I43" s="5">
        <v>432217115</v>
      </c>
      <c r="J43" s="5" t="s">
        <v>2</v>
      </c>
    </row>
    <row r="44" spans="1:10" s="5" customFormat="1" x14ac:dyDescent="0.35">
      <c r="A44" s="5">
        <v>30</v>
      </c>
      <c r="B44" s="5" t="s">
        <v>156</v>
      </c>
      <c r="D44" s="5" t="s">
        <v>376</v>
      </c>
      <c r="E44" s="5" t="s">
        <v>644</v>
      </c>
      <c r="G44" s="5" t="s">
        <v>380</v>
      </c>
      <c r="H44" s="12">
        <v>41096</v>
      </c>
      <c r="I44" s="5">
        <v>4312122701</v>
      </c>
      <c r="J44" s="5" t="s">
        <v>2</v>
      </c>
    </row>
    <row r="45" spans="1:10" s="5" customFormat="1" ht="15" thickBot="1" x14ac:dyDescent="0.4">
      <c r="A45" s="5">
        <v>31</v>
      </c>
      <c r="B45" s="5" t="s">
        <v>157</v>
      </c>
      <c r="D45" s="5" t="s">
        <v>382</v>
      </c>
      <c r="E45" s="5" t="s">
        <v>471</v>
      </c>
      <c r="F45" s="5" t="s">
        <v>423</v>
      </c>
      <c r="G45" s="5" t="s">
        <v>381</v>
      </c>
      <c r="H45" s="12">
        <v>41646</v>
      </c>
      <c r="I45" s="5">
        <v>1231400835</v>
      </c>
      <c r="J45" s="5" t="s">
        <v>2</v>
      </c>
    </row>
    <row r="46" spans="1:10" s="5" customFormat="1" x14ac:dyDescent="0.35">
      <c r="A46" s="5">
        <v>32</v>
      </c>
      <c r="B46" s="5" t="s">
        <v>158</v>
      </c>
      <c r="C46" s="23" t="s">
        <v>1154</v>
      </c>
      <c r="D46" s="5" t="s">
        <v>382</v>
      </c>
      <c r="E46" s="5" t="s">
        <v>471</v>
      </c>
      <c r="F46" s="5" t="s">
        <v>518</v>
      </c>
      <c r="G46" s="5" t="s">
        <v>381</v>
      </c>
      <c r="H46" s="12">
        <v>41646</v>
      </c>
      <c r="I46" s="5">
        <v>1231400839</v>
      </c>
      <c r="J46" s="5" t="s">
        <v>2</v>
      </c>
    </row>
    <row r="47" spans="1:10" s="5" customFormat="1" x14ac:dyDescent="0.35">
      <c r="A47" s="5">
        <v>33</v>
      </c>
      <c r="B47" s="5" t="s">
        <v>159</v>
      </c>
      <c r="D47" s="5" t="s">
        <v>382</v>
      </c>
      <c r="E47" s="5" t="s">
        <v>636</v>
      </c>
      <c r="F47" s="5" t="s">
        <v>440</v>
      </c>
      <c r="G47" s="5" t="s">
        <v>381</v>
      </c>
      <c r="H47" s="12">
        <v>41666</v>
      </c>
      <c r="I47" s="5">
        <v>431407854</v>
      </c>
      <c r="J47" s="5" t="s">
        <v>2</v>
      </c>
    </row>
    <row r="48" spans="1:10" s="5" customFormat="1" x14ac:dyDescent="0.35">
      <c r="A48" s="5">
        <v>34</v>
      </c>
      <c r="B48" s="5" t="s">
        <v>160</v>
      </c>
      <c r="D48" s="5" t="s">
        <v>382</v>
      </c>
      <c r="E48" s="5" t="s">
        <v>637</v>
      </c>
      <c r="F48" s="5" t="s">
        <v>571</v>
      </c>
      <c r="G48" s="5" t="s">
        <v>380</v>
      </c>
      <c r="H48" s="12">
        <v>38021</v>
      </c>
      <c r="I48" s="5">
        <v>1221908462</v>
      </c>
      <c r="J48" s="5" t="s">
        <v>2</v>
      </c>
    </row>
    <row r="49" spans="1:10" s="5" customFormat="1" x14ac:dyDescent="0.35">
      <c r="A49" s="5">
        <v>35</v>
      </c>
      <c r="B49" s="5" t="s">
        <v>161</v>
      </c>
      <c r="D49" s="5" t="s">
        <v>382</v>
      </c>
      <c r="E49" s="5" t="s">
        <v>398</v>
      </c>
      <c r="F49" s="5" t="s">
        <v>476</v>
      </c>
      <c r="G49" s="5" t="s">
        <v>380</v>
      </c>
      <c r="H49" s="12">
        <v>41288</v>
      </c>
      <c r="I49" s="5">
        <v>431419787</v>
      </c>
      <c r="J49" s="5" t="s">
        <v>2</v>
      </c>
    </row>
    <row r="50" spans="1:10" s="5" customFormat="1" x14ac:dyDescent="0.35">
      <c r="A50" s="5">
        <v>36</v>
      </c>
      <c r="B50" s="5" t="s">
        <v>162</v>
      </c>
      <c r="D50" s="5" t="s">
        <v>484</v>
      </c>
      <c r="E50" s="5" t="s">
        <v>514</v>
      </c>
      <c r="F50" s="5" t="s">
        <v>421</v>
      </c>
      <c r="G50" s="5" t="s">
        <v>380</v>
      </c>
      <c r="H50" s="12">
        <v>38346</v>
      </c>
      <c r="I50" s="5" t="s">
        <v>163</v>
      </c>
      <c r="J50" s="5" t="s">
        <v>2</v>
      </c>
    </row>
    <row r="51" spans="1:10" s="5" customFormat="1" x14ac:dyDescent="0.35">
      <c r="A51" s="5">
        <v>37</v>
      </c>
      <c r="B51" s="5" t="s">
        <v>164</v>
      </c>
      <c r="D51" s="5" t="s">
        <v>484</v>
      </c>
      <c r="E51" s="5" t="s">
        <v>638</v>
      </c>
      <c r="F51" s="5" t="s">
        <v>639</v>
      </c>
      <c r="G51" s="5" t="s">
        <v>380</v>
      </c>
      <c r="H51" s="12">
        <v>42071</v>
      </c>
      <c r="I51" s="5">
        <v>41507203</v>
      </c>
      <c r="J51" s="5" t="s">
        <v>2</v>
      </c>
    </row>
    <row r="52" spans="1:10" s="5" customFormat="1" x14ac:dyDescent="0.35">
      <c r="A52" s="5">
        <v>38</v>
      </c>
      <c r="B52" s="5" t="s">
        <v>165</v>
      </c>
      <c r="D52" s="5" t="s">
        <v>484</v>
      </c>
      <c r="E52" s="5" t="s">
        <v>398</v>
      </c>
      <c r="F52" s="5" t="s">
        <v>517</v>
      </c>
      <c r="G52" s="5" t="s">
        <v>380</v>
      </c>
      <c r="H52" s="12">
        <v>40938</v>
      </c>
      <c r="I52" s="5">
        <v>432202128</v>
      </c>
      <c r="J52" s="5" t="s">
        <v>2</v>
      </c>
    </row>
    <row r="53" spans="1:10" s="5" customFormat="1" x14ac:dyDescent="0.35">
      <c r="A53" s="5">
        <v>39</v>
      </c>
      <c r="B53" s="5" t="s">
        <v>166</v>
      </c>
      <c r="D53" s="5" t="s">
        <v>640</v>
      </c>
      <c r="E53" s="5" t="s">
        <v>588</v>
      </c>
      <c r="F53" s="5" t="s">
        <v>641</v>
      </c>
      <c r="G53" s="5" t="s">
        <v>380</v>
      </c>
      <c r="H53" s="12">
        <v>41743</v>
      </c>
      <c r="I53" s="5">
        <v>602108170</v>
      </c>
      <c r="J53" s="5" t="s">
        <v>2</v>
      </c>
    </row>
    <row r="54" spans="1:10" s="5" customFormat="1" ht="15" thickBot="1" x14ac:dyDescent="0.4">
      <c r="A54" s="5">
        <v>40</v>
      </c>
      <c r="B54" s="5" t="s">
        <v>167</v>
      </c>
      <c r="D54" s="5" t="s">
        <v>642</v>
      </c>
      <c r="E54" s="5" t="s">
        <v>575</v>
      </c>
      <c r="F54" s="5" t="s">
        <v>388</v>
      </c>
      <c r="G54" s="5" t="s">
        <v>381</v>
      </c>
      <c r="H54" s="12">
        <v>41742</v>
      </c>
      <c r="I54" s="5">
        <v>431987777</v>
      </c>
      <c r="J54" s="5" t="s">
        <v>2</v>
      </c>
    </row>
    <row r="55" spans="1:10" s="5" customFormat="1" ht="15" thickBot="1" x14ac:dyDescent="0.4">
      <c r="A55" s="5">
        <v>41</v>
      </c>
      <c r="B55" s="5" t="s">
        <v>168</v>
      </c>
      <c r="C55" s="22" t="s">
        <v>1155</v>
      </c>
      <c r="D55" s="5" t="s">
        <v>642</v>
      </c>
      <c r="E55" s="5" t="s">
        <v>643</v>
      </c>
      <c r="F55" s="5" t="s">
        <v>414</v>
      </c>
      <c r="G55" s="5" t="s">
        <v>380</v>
      </c>
      <c r="H55" s="12">
        <v>41774</v>
      </c>
      <c r="I55" s="5">
        <v>438975642</v>
      </c>
      <c r="J55" s="5" t="s">
        <v>2</v>
      </c>
    </row>
    <row r="56" spans="1:10" s="5" customFormat="1" ht="15" thickBot="1" x14ac:dyDescent="0.4">
      <c r="A56" s="5">
        <v>42</v>
      </c>
      <c r="C56" s="22" t="s">
        <v>1156</v>
      </c>
      <c r="D56" s="22" t="s">
        <v>419</v>
      </c>
      <c r="E56" s="5" t="s">
        <v>712</v>
      </c>
      <c r="F56" s="5" t="s">
        <v>1157</v>
      </c>
      <c r="G56" s="5" t="s">
        <v>381</v>
      </c>
      <c r="H56" s="24">
        <v>41982</v>
      </c>
      <c r="I56" s="22">
        <v>2462206815</v>
      </c>
      <c r="J56" s="5" t="s">
        <v>2</v>
      </c>
    </row>
    <row r="57" spans="1:10" s="5" customFormat="1" x14ac:dyDescent="0.35">
      <c r="A57" s="5">
        <v>43</v>
      </c>
      <c r="C57" s="23" t="s">
        <v>1160</v>
      </c>
      <c r="D57" s="23" t="s">
        <v>1161</v>
      </c>
      <c r="E57" s="23" t="s">
        <v>534</v>
      </c>
      <c r="F57" s="5" t="s">
        <v>394</v>
      </c>
      <c r="G57" s="5" t="s">
        <v>381</v>
      </c>
      <c r="I57" s="23">
        <v>432216611</v>
      </c>
      <c r="J57" s="5" t="s">
        <v>2</v>
      </c>
    </row>
    <row r="58" spans="1:10" s="5" customFormat="1" x14ac:dyDescent="0.35">
      <c r="A58" s="5">
        <v>44</v>
      </c>
      <c r="C58" s="5" t="s">
        <v>1208</v>
      </c>
      <c r="D58" s="5" t="s">
        <v>1209</v>
      </c>
      <c r="E58" s="5" t="s">
        <v>1220</v>
      </c>
      <c r="F58" s="5" t="s">
        <v>554</v>
      </c>
      <c r="G58" s="5" t="s">
        <v>380</v>
      </c>
      <c r="H58" s="12">
        <v>43133</v>
      </c>
      <c r="I58" s="5">
        <v>432227363</v>
      </c>
      <c r="J58" s="5" t="s">
        <v>2</v>
      </c>
    </row>
    <row r="59" spans="1:10" s="5" customFormat="1" x14ac:dyDescent="0.35">
      <c r="A59" s="5">
        <v>45</v>
      </c>
      <c r="C59" s="5" t="s">
        <v>1207</v>
      </c>
      <c r="D59" s="5" t="s">
        <v>610</v>
      </c>
      <c r="E59" s="5" t="s">
        <v>611</v>
      </c>
      <c r="G59" s="5" t="s">
        <v>380</v>
      </c>
      <c r="H59" s="12">
        <v>41789</v>
      </c>
      <c r="I59" s="5">
        <v>431620175</v>
      </c>
      <c r="J59" s="5" t="s">
        <v>2</v>
      </c>
    </row>
    <row r="60" spans="1:10" s="5" customFormat="1" x14ac:dyDescent="0.35">
      <c r="A60" s="5">
        <v>46</v>
      </c>
      <c r="C60" s="5" t="s">
        <v>1206</v>
      </c>
      <c r="D60" s="5" t="s">
        <v>427</v>
      </c>
      <c r="E60" s="5" t="s">
        <v>551</v>
      </c>
      <c r="F60" s="5" t="s">
        <v>646</v>
      </c>
      <c r="G60" s="5" t="s">
        <v>380</v>
      </c>
      <c r="H60" s="12">
        <v>41067</v>
      </c>
      <c r="I60" s="5">
        <v>432122701</v>
      </c>
      <c r="J60" s="5" t="s">
        <v>2</v>
      </c>
    </row>
    <row r="61" spans="1:10" s="5" customFormat="1" x14ac:dyDescent="0.35">
      <c r="A61" s="5">
        <v>47</v>
      </c>
      <c r="C61" s="5" t="s">
        <v>1205</v>
      </c>
      <c r="D61" s="5" t="s">
        <v>419</v>
      </c>
      <c r="E61" s="5" t="s">
        <v>475</v>
      </c>
      <c r="F61" s="5" t="s">
        <v>427</v>
      </c>
      <c r="G61" s="5" t="s">
        <v>380</v>
      </c>
      <c r="H61" s="12">
        <v>41543</v>
      </c>
      <c r="I61" s="5">
        <v>432307017</v>
      </c>
      <c r="J61" s="5" t="s">
        <v>2</v>
      </c>
    </row>
    <row r="62" spans="1:10" s="5" customFormat="1" x14ac:dyDescent="0.35">
      <c r="A62" s="5">
        <v>48</v>
      </c>
      <c r="C62" s="5" t="s">
        <v>1204</v>
      </c>
      <c r="D62" s="5" t="s">
        <v>376</v>
      </c>
      <c r="E62" s="5" t="s">
        <v>706</v>
      </c>
      <c r="F62" s="5" t="s">
        <v>447</v>
      </c>
      <c r="G62" s="5" t="s">
        <v>380</v>
      </c>
      <c r="H62" s="12">
        <v>41624</v>
      </c>
      <c r="I62" s="5">
        <v>792204887</v>
      </c>
      <c r="J62" s="5" t="s">
        <v>2</v>
      </c>
    </row>
    <row r="63" spans="1:10" s="5" customFormat="1" x14ac:dyDescent="0.35">
      <c r="A63" s="5">
        <v>49</v>
      </c>
      <c r="C63" s="5" t="s">
        <v>1203</v>
      </c>
      <c r="D63" s="5" t="s">
        <v>382</v>
      </c>
      <c r="E63" s="5" t="s">
        <v>398</v>
      </c>
      <c r="F63" s="5" t="s">
        <v>427</v>
      </c>
      <c r="G63" s="5" t="s">
        <v>381</v>
      </c>
      <c r="H63" s="12">
        <v>41686</v>
      </c>
      <c r="I63" s="5">
        <v>0</v>
      </c>
      <c r="J63" s="5" t="s">
        <v>2</v>
      </c>
    </row>
    <row r="64" spans="1:10" s="5" customFormat="1" x14ac:dyDescent="0.35">
      <c r="A64" s="5">
        <v>50</v>
      </c>
      <c r="C64" s="5" t="s">
        <v>1202</v>
      </c>
      <c r="D64" s="5" t="s">
        <v>382</v>
      </c>
      <c r="E64" s="5" t="s">
        <v>1221</v>
      </c>
      <c r="F64" s="5" t="s">
        <v>653</v>
      </c>
      <c r="G64" s="5" t="s">
        <v>380</v>
      </c>
      <c r="H64" s="12">
        <v>41773</v>
      </c>
      <c r="I64" s="5">
        <v>0</v>
      </c>
      <c r="J64" s="5" t="s">
        <v>2</v>
      </c>
    </row>
    <row r="65" spans="1:10" s="5" customFormat="1" x14ac:dyDescent="0.35">
      <c r="A65" s="5">
        <v>51</v>
      </c>
      <c r="C65" s="5" t="s">
        <v>1201</v>
      </c>
      <c r="D65" s="5" t="s">
        <v>376</v>
      </c>
      <c r="E65" s="5" t="s">
        <v>1222</v>
      </c>
      <c r="F65" s="5" t="s">
        <v>394</v>
      </c>
      <c r="G65" s="5" t="s">
        <v>381</v>
      </c>
      <c r="H65" s="12">
        <v>41381</v>
      </c>
      <c r="I65" s="5">
        <v>432302195</v>
      </c>
      <c r="J65" s="5" t="s">
        <v>2</v>
      </c>
    </row>
    <row r="66" spans="1:10" s="5" customFormat="1" x14ac:dyDescent="0.35">
      <c r="A66" s="5">
        <v>52</v>
      </c>
      <c r="C66" s="5" t="s">
        <v>1200</v>
      </c>
      <c r="D66" s="5" t="s">
        <v>456</v>
      </c>
      <c r="E66" s="5" t="s">
        <v>436</v>
      </c>
      <c r="F66" s="5" t="s">
        <v>394</v>
      </c>
      <c r="G66" s="5" t="s">
        <v>380</v>
      </c>
      <c r="H66" s="12">
        <v>41659</v>
      </c>
      <c r="I66" s="5">
        <v>431988230</v>
      </c>
      <c r="J66" s="5" t="s">
        <v>2</v>
      </c>
    </row>
    <row r="67" spans="1:10" s="5" customFormat="1" x14ac:dyDescent="0.35">
      <c r="A67" s="5">
        <v>53</v>
      </c>
      <c r="C67" s="5" t="s">
        <v>1199</v>
      </c>
      <c r="D67" s="5" t="s">
        <v>376</v>
      </c>
      <c r="E67" s="5" t="s">
        <v>796</v>
      </c>
      <c r="F67" s="5" t="s">
        <v>461</v>
      </c>
      <c r="G67" s="5" t="s">
        <v>380</v>
      </c>
      <c r="H67" s="12">
        <v>41543</v>
      </c>
      <c r="I67" s="5">
        <v>432103123</v>
      </c>
      <c r="J67" s="5" t="s">
        <v>2</v>
      </c>
    </row>
    <row r="68" spans="1:10" s="5" customFormat="1" x14ac:dyDescent="0.35">
      <c r="A68" s="5">
        <v>54</v>
      </c>
      <c r="C68" s="5" t="s">
        <v>1198</v>
      </c>
      <c r="D68" s="5" t="s">
        <v>1210</v>
      </c>
      <c r="E68" s="5" t="s">
        <v>580</v>
      </c>
      <c r="F68" s="5" t="s">
        <v>1228</v>
      </c>
      <c r="G68" s="5" t="s">
        <v>380</v>
      </c>
      <c r="H68" s="12">
        <v>41288</v>
      </c>
      <c r="I68" s="5">
        <v>431419787</v>
      </c>
      <c r="J68" s="5" t="s">
        <v>2</v>
      </c>
    </row>
    <row r="69" spans="1:10" s="5" customFormat="1" x14ac:dyDescent="0.35">
      <c r="A69" s="5">
        <v>55</v>
      </c>
      <c r="C69" s="5" t="s">
        <v>1197</v>
      </c>
      <c r="D69" s="5" t="s">
        <v>447</v>
      </c>
      <c r="E69" s="5" t="s">
        <v>462</v>
      </c>
      <c r="F69" s="5" t="s">
        <v>419</v>
      </c>
      <c r="G69" s="5" t="s">
        <v>381</v>
      </c>
      <c r="H69" s="12">
        <v>40909</v>
      </c>
      <c r="I69" s="5">
        <v>0</v>
      </c>
      <c r="J69" s="5" t="s">
        <v>2</v>
      </c>
    </row>
    <row r="70" spans="1:10" s="5" customFormat="1" x14ac:dyDescent="0.35">
      <c r="A70" s="5">
        <v>56</v>
      </c>
      <c r="C70" s="5" t="s">
        <v>1196</v>
      </c>
      <c r="D70" s="5" t="s">
        <v>376</v>
      </c>
      <c r="E70" s="5" t="s">
        <v>533</v>
      </c>
      <c r="F70" s="5" t="s">
        <v>376</v>
      </c>
      <c r="G70" s="5" t="s">
        <v>381</v>
      </c>
      <c r="H70" s="12">
        <v>42798</v>
      </c>
      <c r="I70" s="5">
        <v>432122702</v>
      </c>
      <c r="J70" s="5" t="s">
        <v>2</v>
      </c>
    </row>
    <row r="71" spans="1:10" s="5" customFormat="1" x14ac:dyDescent="0.35">
      <c r="A71" s="5">
        <v>57</v>
      </c>
      <c r="C71" s="5" t="s">
        <v>1195</v>
      </c>
      <c r="D71" s="5" t="s">
        <v>456</v>
      </c>
      <c r="E71" s="5" t="s">
        <v>375</v>
      </c>
      <c r="F71" s="5" t="s">
        <v>1229</v>
      </c>
      <c r="G71" s="5" t="s">
        <v>381</v>
      </c>
      <c r="H71" s="12">
        <v>42186</v>
      </c>
      <c r="I71" s="5">
        <v>432215826</v>
      </c>
      <c r="J71" s="5" t="s">
        <v>2</v>
      </c>
    </row>
    <row r="72" spans="1:10" s="5" customFormat="1" x14ac:dyDescent="0.35">
      <c r="A72" s="5">
        <v>58</v>
      </c>
      <c r="C72" s="5" t="s">
        <v>1194</v>
      </c>
      <c r="D72" s="5" t="s">
        <v>584</v>
      </c>
      <c r="E72" s="5" t="s">
        <v>585</v>
      </c>
      <c r="F72" s="5" t="s">
        <v>382</v>
      </c>
      <c r="G72" s="5" t="s">
        <v>381</v>
      </c>
      <c r="H72" s="12">
        <v>41816</v>
      </c>
      <c r="I72" s="5">
        <v>431902869</v>
      </c>
      <c r="J72" s="5" t="s">
        <v>2</v>
      </c>
    </row>
    <row r="73" spans="1:10" s="5" customFormat="1" x14ac:dyDescent="0.35">
      <c r="A73" s="5">
        <v>59</v>
      </c>
      <c r="C73" s="5" t="s">
        <v>1193</v>
      </c>
      <c r="D73" s="5" t="s">
        <v>412</v>
      </c>
      <c r="E73" s="5" t="s">
        <v>582</v>
      </c>
      <c r="F73" s="5" t="s">
        <v>461</v>
      </c>
      <c r="G73" s="5" t="s">
        <v>380</v>
      </c>
      <c r="H73" s="12">
        <v>41300</v>
      </c>
      <c r="I73" s="5">
        <v>431974151</v>
      </c>
      <c r="J73" s="5" t="s">
        <v>2</v>
      </c>
    </row>
    <row r="74" spans="1:10" s="5" customFormat="1" x14ac:dyDescent="0.35">
      <c r="A74" s="5">
        <v>60</v>
      </c>
      <c r="C74" s="5" t="s">
        <v>1192</v>
      </c>
      <c r="D74" s="5" t="s">
        <v>584</v>
      </c>
      <c r="E74" s="5" t="s">
        <v>940</v>
      </c>
      <c r="F74" s="5" t="s">
        <v>394</v>
      </c>
      <c r="G74" s="5" t="s">
        <v>380</v>
      </c>
      <c r="H74" s="12">
        <v>41908</v>
      </c>
      <c r="I74" s="5">
        <v>431936677</v>
      </c>
      <c r="J74" s="5" t="s">
        <v>2</v>
      </c>
    </row>
    <row r="75" spans="1:10" s="5" customFormat="1" x14ac:dyDescent="0.35">
      <c r="C75" s="5" t="s">
        <v>1191</v>
      </c>
      <c r="D75" s="5" t="s">
        <v>461</v>
      </c>
      <c r="E75" s="5" t="s">
        <v>408</v>
      </c>
      <c r="F75" s="5" t="s">
        <v>656</v>
      </c>
      <c r="G75" s="5" t="s">
        <v>381</v>
      </c>
      <c r="H75" s="12">
        <v>41531</v>
      </c>
      <c r="I75" s="5">
        <v>432216611</v>
      </c>
      <c r="J75" s="5" t="s">
        <v>2</v>
      </c>
    </row>
    <row r="76" spans="1:10" s="5" customFormat="1" x14ac:dyDescent="0.35">
      <c r="C76" s="5" t="s">
        <v>1190</v>
      </c>
      <c r="D76" s="5" t="s">
        <v>1211</v>
      </c>
      <c r="E76" s="5" t="s">
        <v>1223</v>
      </c>
      <c r="F76" s="5" t="s">
        <v>376</v>
      </c>
      <c r="G76" s="5" t="s">
        <v>380</v>
      </c>
      <c r="H76" s="12">
        <v>41677</v>
      </c>
      <c r="I76" s="5">
        <v>261427073</v>
      </c>
      <c r="J76" s="5" t="s">
        <v>2</v>
      </c>
    </row>
    <row r="77" spans="1:10" s="5" customFormat="1" x14ac:dyDescent="0.35">
      <c r="C77" s="5" t="s">
        <v>1189</v>
      </c>
      <c r="D77" s="5" t="s">
        <v>560</v>
      </c>
      <c r="E77" s="5" t="s">
        <v>561</v>
      </c>
      <c r="F77" s="5" t="s">
        <v>656</v>
      </c>
      <c r="G77" s="5" t="s">
        <v>380</v>
      </c>
      <c r="H77" s="12">
        <v>41680</v>
      </c>
      <c r="I77" s="5">
        <v>431886160</v>
      </c>
      <c r="J77" s="5" t="s">
        <v>2</v>
      </c>
    </row>
    <row r="78" spans="1:10" s="5" customFormat="1" x14ac:dyDescent="0.35">
      <c r="C78" s="5" t="s">
        <v>1188</v>
      </c>
      <c r="D78" s="5" t="s">
        <v>1212</v>
      </c>
      <c r="E78" s="5" t="s">
        <v>1224</v>
      </c>
      <c r="F78" s="5" t="s">
        <v>1230</v>
      </c>
      <c r="G78" s="5" t="s">
        <v>380</v>
      </c>
      <c r="H78" s="12">
        <v>42000</v>
      </c>
      <c r="I78" s="5">
        <v>601606401</v>
      </c>
      <c r="J78" s="5" t="s">
        <v>2</v>
      </c>
    </row>
    <row r="79" spans="1:10" s="5" customFormat="1" x14ac:dyDescent="0.35">
      <c r="C79" s="5" t="s">
        <v>1187</v>
      </c>
      <c r="D79" s="5" t="s">
        <v>461</v>
      </c>
      <c r="E79" s="5" t="s">
        <v>698</v>
      </c>
      <c r="F79" s="5" t="s">
        <v>394</v>
      </c>
      <c r="G79" s="5" t="s">
        <v>380</v>
      </c>
      <c r="H79" s="12">
        <v>41621</v>
      </c>
      <c r="I79" s="5">
        <v>431913958</v>
      </c>
      <c r="J79" s="5" t="s">
        <v>2</v>
      </c>
    </row>
    <row r="80" spans="1:10" s="5" customFormat="1" x14ac:dyDescent="0.35">
      <c r="C80" s="5" t="s">
        <v>1186</v>
      </c>
      <c r="D80" s="5" t="s">
        <v>670</v>
      </c>
      <c r="E80" s="5" t="s">
        <v>533</v>
      </c>
      <c r="F80" s="5" t="s">
        <v>484</v>
      </c>
      <c r="G80" s="5" t="s">
        <v>380</v>
      </c>
      <c r="H80" s="12">
        <v>41479</v>
      </c>
      <c r="I80" s="5">
        <v>431333705</v>
      </c>
      <c r="J80" s="5" t="s">
        <v>2</v>
      </c>
    </row>
    <row r="81" spans="3:10" s="5" customFormat="1" x14ac:dyDescent="0.35">
      <c r="C81" s="5" t="s">
        <v>1184</v>
      </c>
      <c r="D81" s="5" t="s">
        <v>621</v>
      </c>
      <c r="E81" s="5" t="s">
        <v>477</v>
      </c>
      <c r="F81" s="5" t="s">
        <v>570</v>
      </c>
      <c r="G81" s="5" t="s">
        <v>381</v>
      </c>
      <c r="H81" s="12">
        <v>41149</v>
      </c>
      <c r="I81" s="5">
        <v>431536306</v>
      </c>
      <c r="J81" s="5" t="s">
        <v>2</v>
      </c>
    </row>
    <row r="82" spans="3:10" s="5" customFormat="1" x14ac:dyDescent="0.35">
      <c r="C82" s="5" t="s">
        <v>1183</v>
      </c>
      <c r="D82" s="5" t="s">
        <v>652</v>
      </c>
      <c r="E82" s="5" t="s">
        <v>969</v>
      </c>
      <c r="F82" s="5" t="s">
        <v>461</v>
      </c>
      <c r="G82" s="5" t="s">
        <v>381</v>
      </c>
      <c r="H82" s="12">
        <v>41428</v>
      </c>
      <c r="I82" s="5">
        <v>432310580</v>
      </c>
      <c r="J82" s="5" t="s">
        <v>2</v>
      </c>
    </row>
    <row r="83" spans="3:10" s="5" customFormat="1" x14ac:dyDescent="0.35">
      <c r="C83" s="5" t="s">
        <v>1182</v>
      </c>
      <c r="D83" s="5" t="s">
        <v>675</v>
      </c>
      <c r="E83" s="5" t="s">
        <v>1225</v>
      </c>
      <c r="F83" s="5" t="s">
        <v>376</v>
      </c>
      <c r="G83" s="5" t="s">
        <v>381</v>
      </c>
      <c r="H83" s="12">
        <v>41946</v>
      </c>
      <c r="I83" s="5">
        <v>431536305</v>
      </c>
      <c r="J83" s="5" t="s">
        <v>2</v>
      </c>
    </row>
    <row r="84" spans="3:10" s="5" customFormat="1" x14ac:dyDescent="0.35">
      <c r="C84" s="5" t="s">
        <v>1181</v>
      </c>
      <c r="D84" s="5" t="s">
        <v>472</v>
      </c>
      <c r="E84" s="5" t="s">
        <v>435</v>
      </c>
      <c r="F84" s="5" t="s">
        <v>435</v>
      </c>
      <c r="G84" s="5" t="s">
        <v>380</v>
      </c>
      <c r="H84" s="12">
        <v>41377</v>
      </c>
      <c r="I84" s="5">
        <v>431701868</v>
      </c>
      <c r="J84" s="5" t="s">
        <v>2</v>
      </c>
    </row>
    <row r="85" spans="3:10" s="5" customFormat="1" x14ac:dyDescent="0.35">
      <c r="C85" s="5" t="s">
        <v>1180</v>
      </c>
      <c r="D85" s="5" t="s">
        <v>628</v>
      </c>
      <c r="E85" s="5" t="s">
        <v>461</v>
      </c>
      <c r="F85" s="5" t="s">
        <v>461</v>
      </c>
      <c r="G85" s="5" t="s">
        <v>381</v>
      </c>
      <c r="H85" s="12">
        <v>41411</v>
      </c>
      <c r="I85" s="5">
        <v>431911746</v>
      </c>
      <c r="J85" s="5" t="s">
        <v>2</v>
      </c>
    </row>
    <row r="86" spans="3:10" s="5" customFormat="1" x14ac:dyDescent="0.35">
      <c r="C86" s="5" t="s">
        <v>1179</v>
      </c>
      <c r="D86" s="5" t="s">
        <v>726</v>
      </c>
      <c r="E86" s="5" t="s">
        <v>461</v>
      </c>
      <c r="F86" s="5" t="s">
        <v>461</v>
      </c>
      <c r="G86" s="5" t="s">
        <v>380</v>
      </c>
      <c r="H86" s="12">
        <v>41651</v>
      </c>
      <c r="I86" s="5">
        <v>432308113</v>
      </c>
      <c r="J86" s="5" t="s">
        <v>2</v>
      </c>
    </row>
    <row r="87" spans="3:10" s="5" customFormat="1" x14ac:dyDescent="0.35">
      <c r="C87" s="5" t="s">
        <v>1178</v>
      </c>
      <c r="D87" s="5" t="s">
        <v>1213</v>
      </c>
      <c r="E87" s="5" t="s">
        <v>1226</v>
      </c>
      <c r="F87" s="5" t="s">
        <v>1226</v>
      </c>
      <c r="G87" s="5" t="s">
        <v>381</v>
      </c>
      <c r="H87" s="12">
        <v>41975</v>
      </c>
      <c r="I87" s="5">
        <v>432230358</v>
      </c>
      <c r="J87" s="5" t="s">
        <v>2</v>
      </c>
    </row>
    <row r="88" spans="3:10" s="5" customFormat="1" x14ac:dyDescent="0.35">
      <c r="C88" s="5" t="s">
        <v>1177</v>
      </c>
      <c r="D88" s="5" t="s">
        <v>1214</v>
      </c>
      <c r="E88" s="5" t="s">
        <v>653</v>
      </c>
      <c r="F88" s="5" t="s">
        <v>653</v>
      </c>
      <c r="G88" s="5" t="s">
        <v>380</v>
      </c>
      <c r="H88" s="12">
        <v>41480</v>
      </c>
      <c r="I88" s="5">
        <v>431990219</v>
      </c>
      <c r="J88" s="5" t="s">
        <v>2</v>
      </c>
    </row>
    <row r="89" spans="3:10" s="5" customFormat="1" x14ac:dyDescent="0.35">
      <c r="C89" s="5" t="s">
        <v>1176</v>
      </c>
      <c r="D89" s="5" t="s">
        <v>1215</v>
      </c>
      <c r="E89" s="5" t="s">
        <v>461</v>
      </c>
      <c r="F89" s="5" t="s">
        <v>461</v>
      </c>
      <c r="G89" s="5" t="s">
        <v>381</v>
      </c>
      <c r="H89" s="12">
        <v>41715</v>
      </c>
      <c r="I89" s="5">
        <v>431411409</v>
      </c>
      <c r="J89" s="5" t="s">
        <v>2</v>
      </c>
    </row>
    <row r="90" spans="3:10" s="5" customFormat="1" x14ac:dyDescent="0.35">
      <c r="C90" s="5" t="s">
        <v>1175</v>
      </c>
      <c r="D90" s="5" t="s">
        <v>557</v>
      </c>
      <c r="E90" s="5" t="s">
        <v>427</v>
      </c>
      <c r="F90" s="5" t="s">
        <v>427</v>
      </c>
      <c r="G90" s="5" t="s">
        <v>380</v>
      </c>
      <c r="H90" s="12">
        <v>41384</v>
      </c>
      <c r="I90" s="5">
        <v>432127643</v>
      </c>
      <c r="J90" s="5" t="s">
        <v>2</v>
      </c>
    </row>
    <row r="91" spans="3:10" s="5" customFormat="1" x14ac:dyDescent="0.35">
      <c r="C91" s="5" t="s">
        <v>1174</v>
      </c>
      <c r="D91" s="5" t="s">
        <v>911</v>
      </c>
      <c r="E91" s="5" t="s">
        <v>427</v>
      </c>
      <c r="F91" s="5" t="s">
        <v>427</v>
      </c>
      <c r="G91" s="5" t="s">
        <v>380</v>
      </c>
      <c r="H91" s="12">
        <v>41671</v>
      </c>
      <c r="I91" s="5">
        <v>601803477</v>
      </c>
      <c r="J91" s="5" t="s">
        <v>2</v>
      </c>
    </row>
    <row r="92" spans="3:10" s="5" customFormat="1" x14ac:dyDescent="0.35">
      <c r="C92" s="5" t="s">
        <v>1173</v>
      </c>
      <c r="D92" s="5" t="s">
        <v>609</v>
      </c>
      <c r="E92" s="5" t="s">
        <v>461</v>
      </c>
      <c r="F92" s="5" t="s">
        <v>461</v>
      </c>
      <c r="G92" s="5" t="s">
        <v>380</v>
      </c>
      <c r="H92" s="12">
        <v>41800</v>
      </c>
      <c r="I92" s="5">
        <v>602202326</v>
      </c>
      <c r="J92" s="5" t="s">
        <v>2</v>
      </c>
    </row>
    <row r="93" spans="3:10" s="5" customFormat="1" x14ac:dyDescent="0.35">
      <c r="C93" s="5" t="s">
        <v>1172</v>
      </c>
      <c r="D93" s="5" t="s">
        <v>1216</v>
      </c>
      <c r="E93" s="5" t="s">
        <v>456</v>
      </c>
      <c r="F93" s="5" t="s">
        <v>456</v>
      </c>
      <c r="G93" s="5" t="s">
        <v>380</v>
      </c>
      <c r="H93" s="12">
        <v>41213</v>
      </c>
      <c r="I93" s="5">
        <v>0</v>
      </c>
      <c r="J93" s="5" t="s">
        <v>2</v>
      </c>
    </row>
    <row r="94" spans="3:10" s="5" customFormat="1" x14ac:dyDescent="0.35">
      <c r="C94" s="5" t="s">
        <v>1171</v>
      </c>
      <c r="D94" s="5" t="s">
        <v>1217</v>
      </c>
      <c r="E94" s="5" t="s">
        <v>656</v>
      </c>
      <c r="F94" s="5" t="s">
        <v>656</v>
      </c>
      <c r="G94" s="5" t="s">
        <v>380</v>
      </c>
      <c r="H94" s="12">
        <v>42005</v>
      </c>
      <c r="I94" s="5">
        <v>0</v>
      </c>
      <c r="J94" s="5" t="s">
        <v>2</v>
      </c>
    </row>
    <row r="95" spans="3:10" s="5" customFormat="1" x14ac:dyDescent="0.35">
      <c r="C95" s="5" t="s">
        <v>1170</v>
      </c>
      <c r="D95" s="5" t="s">
        <v>575</v>
      </c>
      <c r="E95" s="5" t="s">
        <v>471</v>
      </c>
      <c r="F95" s="5" t="s">
        <v>471</v>
      </c>
      <c r="G95" s="5" t="s">
        <v>380</v>
      </c>
      <c r="H95" s="12">
        <v>42005</v>
      </c>
      <c r="I95" s="5">
        <v>0</v>
      </c>
      <c r="J95" s="5" t="s">
        <v>2</v>
      </c>
    </row>
    <row r="96" spans="3:10" s="5" customFormat="1" x14ac:dyDescent="0.35">
      <c r="C96" s="5" t="s">
        <v>1169</v>
      </c>
      <c r="D96" s="5" t="s">
        <v>716</v>
      </c>
      <c r="E96" s="5" t="s">
        <v>456</v>
      </c>
      <c r="F96" s="5" t="s">
        <v>456</v>
      </c>
      <c r="G96" s="5" t="s">
        <v>380</v>
      </c>
      <c r="H96" s="12">
        <v>42005</v>
      </c>
      <c r="I96" s="5">
        <v>0</v>
      </c>
      <c r="J96" s="5" t="s">
        <v>2</v>
      </c>
    </row>
    <row r="97" spans="3:10" s="5" customFormat="1" x14ac:dyDescent="0.35">
      <c r="C97" s="5" t="s">
        <v>1168</v>
      </c>
      <c r="D97" s="5" t="s">
        <v>934</v>
      </c>
      <c r="E97" s="5" t="s">
        <v>461</v>
      </c>
      <c r="F97" s="5" t="s">
        <v>461</v>
      </c>
      <c r="G97" s="5" t="s">
        <v>380</v>
      </c>
      <c r="H97" s="12">
        <v>42005</v>
      </c>
      <c r="I97" s="5">
        <v>0</v>
      </c>
      <c r="J97" s="5" t="s">
        <v>2</v>
      </c>
    </row>
    <row r="98" spans="3:10" s="5" customFormat="1" x14ac:dyDescent="0.35">
      <c r="C98" s="5" t="s">
        <v>1167</v>
      </c>
      <c r="D98" s="5" t="s">
        <v>398</v>
      </c>
      <c r="E98" s="5" t="s">
        <v>484</v>
      </c>
      <c r="F98" s="5" t="s">
        <v>484</v>
      </c>
      <c r="G98" s="5" t="s">
        <v>381</v>
      </c>
      <c r="H98" s="12">
        <v>42005</v>
      </c>
      <c r="I98" s="5">
        <v>0</v>
      </c>
      <c r="J98" s="5" t="s">
        <v>2</v>
      </c>
    </row>
    <row r="99" spans="3:10" s="5" customFormat="1" x14ac:dyDescent="0.35">
      <c r="C99" s="5" t="s">
        <v>1166</v>
      </c>
      <c r="D99" s="5" t="s">
        <v>1218</v>
      </c>
      <c r="E99" s="5" t="s">
        <v>376</v>
      </c>
      <c r="F99" s="5" t="s">
        <v>376</v>
      </c>
      <c r="G99" s="5" t="s">
        <v>380</v>
      </c>
      <c r="H99" s="12">
        <v>42005</v>
      </c>
      <c r="I99" s="5">
        <v>0</v>
      </c>
      <c r="J99" s="5" t="s">
        <v>2</v>
      </c>
    </row>
    <row r="100" spans="3:10" s="5" customFormat="1" x14ac:dyDescent="0.35">
      <c r="C100" s="5" t="s">
        <v>1165</v>
      </c>
      <c r="D100" s="5" t="s">
        <v>1219</v>
      </c>
      <c r="E100" s="5" t="s">
        <v>398</v>
      </c>
      <c r="F100" s="5" t="s">
        <v>427</v>
      </c>
      <c r="G100" s="5" t="s">
        <v>380</v>
      </c>
      <c r="H100" s="12">
        <v>42005</v>
      </c>
      <c r="I100" s="5">
        <v>0</v>
      </c>
      <c r="J100" s="5" t="s">
        <v>2</v>
      </c>
    </row>
    <row r="101" spans="3:10" s="5" customFormat="1" x14ac:dyDescent="0.35">
      <c r="C101" s="5" t="s">
        <v>1164</v>
      </c>
      <c r="D101" s="5" t="s">
        <v>439</v>
      </c>
      <c r="E101" s="5" t="s">
        <v>620</v>
      </c>
      <c r="F101" s="5" t="s">
        <v>376</v>
      </c>
      <c r="G101" s="5" t="s">
        <v>380</v>
      </c>
      <c r="H101" s="12">
        <v>42005</v>
      </c>
      <c r="I101" s="5">
        <v>0</v>
      </c>
      <c r="J101" s="5" t="s">
        <v>2</v>
      </c>
    </row>
    <row r="102" spans="3:10" s="5" customFormat="1" x14ac:dyDescent="0.35">
      <c r="C102" s="5" t="s">
        <v>1163</v>
      </c>
      <c r="D102" s="5" t="s">
        <v>427</v>
      </c>
      <c r="E102" s="5" t="s">
        <v>1227</v>
      </c>
      <c r="F102" s="5" t="s">
        <v>554</v>
      </c>
      <c r="G102" s="5" t="s">
        <v>380</v>
      </c>
      <c r="H102" s="12">
        <v>42005</v>
      </c>
      <c r="I102" s="5">
        <v>0</v>
      </c>
      <c r="J102" s="5" t="s">
        <v>2</v>
      </c>
    </row>
  </sheetData>
  <autoFilter ref="A14:J67" xr:uid="{D2E00AAE-A676-4591-9A8A-39446138AF30}"/>
  <mergeCells count="1">
    <mergeCell ref="A1:J13"/>
  </mergeCells>
  <phoneticPr fontId="3" type="noConversion"/>
  <conditionalFormatting sqref="B58:C102 C15:C57">
    <cfRule type="duplicateValues" dxfId="1" priority="11"/>
  </conditionalFormatting>
  <conditionalFormatting sqref="C103:C1048576 C1:C57 B58:C102">
    <cfRule type="duplicateValues" dxfId="0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2458-F107-49B8-91AE-9DCB5690C560}">
  <dimension ref="A1:J74"/>
  <sheetViews>
    <sheetView topLeftCell="A56" workbookViewId="0">
      <selection activeCell="H18" sqref="H18"/>
    </sheetView>
  </sheetViews>
  <sheetFormatPr defaultColWidth="19.81640625" defaultRowHeight="14.5" x14ac:dyDescent="0.35"/>
  <cols>
    <col min="1" max="1" width="5.08984375" bestFit="1" customWidth="1"/>
    <col min="2" max="2" width="9.7265625" bestFit="1" customWidth="1"/>
    <col min="3" max="3" width="12.453125" customWidth="1"/>
    <col min="4" max="4" width="10.6328125" customWidth="1"/>
    <col min="5" max="5" width="10.81640625" bestFit="1" customWidth="1"/>
    <col min="6" max="6" width="19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1.90625" customWidth="1"/>
  </cols>
  <sheetData>
    <row r="1" spans="1:10" x14ac:dyDescent="0.35">
      <c r="A1" s="38" t="s">
        <v>929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 x14ac:dyDescent="0.35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0" x14ac:dyDescent="0.35">
      <c r="A5" s="38"/>
      <c r="B5" s="38"/>
      <c r="C5" s="38"/>
      <c r="D5" s="38"/>
      <c r="E5" s="38"/>
      <c r="F5" s="38"/>
      <c r="G5" s="38"/>
      <c r="H5" s="38"/>
      <c r="I5" s="38"/>
      <c r="J5" s="38"/>
    </row>
    <row r="6" spans="1:10" x14ac:dyDescent="0.35">
      <c r="A6" s="38"/>
      <c r="B6" s="38"/>
      <c r="C6" s="38"/>
      <c r="D6" s="38"/>
      <c r="E6" s="38"/>
      <c r="F6" s="38"/>
      <c r="G6" s="38"/>
      <c r="H6" s="38"/>
      <c r="I6" s="38"/>
      <c r="J6" s="38"/>
    </row>
    <row r="7" spans="1:10" x14ac:dyDescent="0.35">
      <c r="A7" s="38"/>
      <c r="B7" s="38"/>
      <c r="C7" s="38"/>
      <c r="D7" s="38"/>
      <c r="E7" s="38"/>
      <c r="F7" s="38"/>
      <c r="G7" s="38"/>
      <c r="H7" s="38"/>
      <c r="I7" s="38"/>
      <c r="J7" s="38"/>
    </row>
    <row r="8" spans="1:10" x14ac:dyDescent="0.35">
      <c r="A8" s="38"/>
      <c r="B8" s="38"/>
      <c r="C8" s="38"/>
      <c r="D8" s="38"/>
      <c r="E8" s="38"/>
      <c r="F8" s="38"/>
      <c r="G8" s="38"/>
      <c r="H8" s="38"/>
      <c r="I8" s="38"/>
      <c r="J8" s="38"/>
    </row>
    <row r="9" spans="1:10" x14ac:dyDescent="0.35">
      <c r="A9" s="38"/>
      <c r="B9" s="38"/>
      <c r="C9" s="38"/>
      <c r="D9" s="38"/>
      <c r="E9" s="38"/>
      <c r="F9" s="38"/>
      <c r="G9" s="38"/>
      <c r="H9" s="38"/>
      <c r="I9" s="38"/>
      <c r="J9" s="38"/>
    </row>
    <row r="10" spans="1:10" x14ac:dyDescent="0.35">
      <c r="A10" s="38"/>
      <c r="B10" s="38"/>
      <c r="C10" s="38"/>
      <c r="D10" s="38"/>
      <c r="E10" s="38"/>
      <c r="F10" s="38"/>
      <c r="G10" s="38"/>
      <c r="H10" s="38"/>
      <c r="I10" s="38"/>
      <c r="J10" s="38"/>
    </row>
    <row r="11" spans="1:10" x14ac:dyDescent="0.35">
      <c r="A11" s="38"/>
      <c r="B11" s="38"/>
      <c r="C11" s="38"/>
      <c r="D11" s="38"/>
      <c r="E11" s="38"/>
      <c r="F11" s="38"/>
      <c r="G11" s="38"/>
      <c r="H11" s="38"/>
      <c r="I11" s="38"/>
      <c r="J11" s="38"/>
    </row>
    <row r="12" spans="1:10" x14ac:dyDescent="0.35">
      <c r="A12" s="38"/>
      <c r="B12" s="38"/>
      <c r="C12" s="38"/>
      <c r="D12" s="38"/>
      <c r="E12" s="38"/>
      <c r="F12" s="38"/>
      <c r="G12" s="38"/>
      <c r="H12" s="38"/>
      <c r="I12" s="38"/>
      <c r="J12" s="38"/>
    </row>
    <row r="13" spans="1:10" x14ac:dyDescent="0.35">
      <c r="A13" s="38"/>
      <c r="B13" s="38"/>
      <c r="C13" s="38"/>
      <c r="D13" s="38"/>
      <c r="E13" s="38"/>
      <c r="F13" s="38"/>
      <c r="G13" s="38"/>
      <c r="H13" s="38"/>
      <c r="I13" s="38"/>
      <c r="J13" s="38"/>
    </row>
    <row r="14" spans="1:10" s="5" customFormat="1" ht="15" thickBot="1" x14ac:dyDescent="0.4">
      <c r="A14" s="10" t="s">
        <v>930</v>
      </c>
      <c r="B14" s="2" t="s">
        <v>378</v>
      </c>
      <c r="C14" s="2" t="s">
        <v>493</v>
      </c>
      <c r="D14" s="2" t="s">
        <v>385</v>
      </c>
      <c r="E14" s="2" t="s">
        <v>384</v>
      </c>
      <c r="F14" s="2" t="s">
        <v>931</v>
      </c>
      <c r="G14" s="2" t="s">
        <v>0</v>
      </c>
      <c r="H14" s="2" t="s">
        <v>1</v>
      </c>
      <c r="I14" s="2" t="s">
        <v>932</v>
      </c>
      <c r="J14" s="9" t="s">
        <v>933</v>
      </c>
    </row>
    <row r="15" spans="1:10" ht="15" thickBot="1" x14ac:dyDescent="0.4">
      <c r="A15" cm="1">
        <f t="array" ref="A15:A74">_xlfn.SEQUENCE(60)</f>
        <v>1</v>
      </c>
      <c r="B15" s="16" t="s">
        <v>169</v>
      </c>
      <c r="C15" s="16" t="s">
        <v>1023</v>
      </c>
      <c r="D15" s="16" t="s">
        <v>645</v>
      </c>
      <c r="E15" s="16" t="s">
        <v>1026</v>
      </c>
      <c r="F15" s="16" t="s">
        <v>484</v>
      </c>
      <c r="G15" t="s">
        <v>380</v>
      </c>
      <c r="H15" s="3">
        <v>41034</v>
      </c>
      <c r="I15" s="5">
        <v>431721787</v>
      </c>
      <c r="J15" t="s">
        <v>2</v>
      </c>
    </row>
    <row r="16" spans="1:10" ht="15" thickBot="1" x14ac:dyDescent="0.4">
      <c r="A16">
        <v>2</v>
      </c>
      <c r="B16" s="16" t="s">
        <v>170</v>
      </c>
      <c r="C16" s="16" t="s">
        <v>1027</v>
      </c>
      <c r="D16" s="16" t="s">
        <v>645</v>
      </c>
      <c r="E16" s="16" t="s">
        <v>1028</v>
      </c>
      <c r="F16" s="16" t="s">
        <v>376</v>
      </c>
      <c r="G16" t="s">
        <v>380</v>
      </c>
      <c r="H16" s="3">
        <v>41125</v>
      </c>
      <c r="I16" s="5">
        <v>431721794</v>
      </c>
      <c r="J16" t="s">
        <v>2</v>
      </c>
    </row>
    <row r="17" spans="1:10" ht="15" thickBot="1" x14ac:dyDescent="0.4">
      <c r="A17">
        <v>3</v>
      </c>
      <c r="B17" s="16" t="s">
        <v>171</v>
      </c>
      <c r="C17" s="16" t="s">
        <v>1029</v>
      </c>
      <c r="D17" s="16" t="s">
        <v>1030</v>
      </c>
      <c r="E17" s="16" t="s">
        <v>1031</v>
      </c>
      <c r="F17" s="16" t="s">
        <v>646</v>
      </c>
      <c r="G17" t="s">
        <v>381</v>
      </c>
      <c r="H17" s="3">
        <v>41508</v>
      </c>
      <c r="I17" s="5">
        <v>41320262</v>
      </c>
      <c r="J17" t="s">
        <v>2</v>
      </c>
    </row>
    <row r="18" spans="1:10" ht="15" thickBot="1" x14ac:dyDescent="0.4">
      <c r="A18">
        <v>4</v>
      </c>
      <c r="B18" s="16" t="s">
        <v>172</v>
      </c>
      <c r="C18" s="16"/>
      <c r="D18" s="16" t="s">
        <v>647</v>
      </c>
      <c r="E18" s="16" t="s">
        <v>1032</v>
      </c>
      <c r="F18" s="16" t="s">
        <v>419</v>
      </c>
      <c r="G18" t="s">
        <v>380</v>
      </c>
      <c r="H18" s="3">
        <v>40688</v>
      </c>
      <c r="I18" s="5">
        <v>43132978</v>
      </c>
      <c r="J18" t="s">
        <v>2</v>
      </c>
    </row>
    <row r="19" spans="1:10" ht="15" thickBot="1" x14ac:dyDescent="0.4">
      <c r="A19">
        <v>5</v>
      </c>
      <c r="B19" s="16" t="s">
        <v>173</v>
      </c>
      <c r="C19" s="16" t="s">
        <v>1033</v>
      </c>
      <c r="D19" s="16" t="s">
        <v>394</v>
      </c>
      <c r="E19" s="16" t="s">
        <v>1034</v>
      </c>
      <c r="F19" s="16" t="s">
        <v>376</v>
      </c>
      <c r="G19" t="s">
        <v>380</v>
      </c>
      <c r="H19" s="3">
        <v>40179</v>
      </c>
      <c r="I19" s="5">
        <v>3460339</v>
      </c>
      <c r="J19" t="s">
        <v>2</v>
      </c>
    </row>
    <row r="20" spans="1:10" ht="15" thickBot="1" x14ac:dyDescent="0.4">
      <c r="A20">
        <v>6</v>
      </c>
      <c r="B20" s="16" t="s">
        <v>174</v>
      </c>
      <c r="C20" s="16" t="s">
        <v>1035</v>
      </c>
      <c r="D20" s="16" t="s">
        <v>648</v>
      </c>
      <c r="E20" s="16" t="s">
        <v>1036</v>
      </c>
      <c r="F20" s="16" t="s">
        <v>377</v>
      </c>
      <c r="G20" t="s">
        <v>381</v>
      </c>
      <c r="H20" s="3">
        <v>41418</v>
      </c>
      <c r="I20" s="5">
        <v>431983057</v>
      </c>
      <c r="J20" t="s">
        <v>2</v>
      </c>
    </row>
    <row r="21" spans="1:10" ht="15" thickBot="1" x14ac:dyDescent="0.4">
      <c r="A21">
        <v>7</v>
      </c>
      <c r="B21" s="16" t="s">
        <v>175</v>
      </c>
      <c r="C21" s="16" t="s">
        <v>1037</v>
      </c>
      <c r="D21" s="16" t="s">
        <v>536</v>
      </c>
      <c r="E21" s="16" t="s">
        <v>1038</v>
      </c>
      <c r="F21" s="16" t="s">
        <v>419</v>
      </c>
      <c r="G21" t="s">
        <v>380</v>
      </c>
      <c r="H21" s="3">
        <v>41108</v>
      </c>
      <c r="I21" s="5">
        <v>432206604</v>
      </c>
      <c r="J21" t="s">
        <v>2</v>
      </c>
    </row>
    <row r="22" spans="1:10" ht="15" thickBot="1" x14ac:dyDescent="0.4">
      <c r="A22">
        <v>8</v>
      </c>
      <c r="B22" s="16" t="s">
        <v>176</v>
      </c>
      <c r="C22" s="16"/>
      <c r="D22" s="16" t="s">
        <v>649</v>
      </c>
      <c r="E22" s="16" t="s">
        <v>1039</v>
      </c>
      <c r="F22" s="16" t="s">
        <v>427</v>
      </c>
      <c r="G22" t="s">
        <v>380</v>
      </c>
      <c r="H22" s="3">
        <v>40603</v>
      </c>
      <c r="I22" s="5">
        <v>431958056</v>
      </c>
      <c r="J22" t="s">
        <v>2</v>
      </c>
    </row>
    <row r="23" spans="1:10" ht="15" thickBot="1" x14ac:dyDescent="0.4">
      <c r="A23">
        <v>9</v>
      </c>
      <c r="B23" s="16" t="s">
        <v>177</v>
      </c>
      <c r="C23" s="16" t="s">
        <v>1040</v>
      </c>
      <c r="D23" s="16" t="s">
        <v>606</v>
      </c>
      <c r="E23" s="16" t="s">
        <v>1041</v>
      </c>
      <c r="F23" s="17" t="s">
        <v>1042</v>
      </c>
      <c r="G23" t="s">
        <v>381</v>
      </c>
      <c r="H23" s="3">
        <v>41079</v>
      </c>
      <c r="I23" s="5">
        <v>431606531</v>
      </c>
      <c r="J23" t="s">
        <v>2</v>
      </c>
    </row>
    <row r="24" spans="1:10" ht="15" thickBot="1" x14ac:dyDescent="0.4">
      <c r="A24">
        <v>10</v>
      </c>
      <c r="B24" s="16" t="s">
        <v>178</v>
      </c>
      <c r="C24" s="16"/>
      <c r="D24" s="16" t="s">
        <v>650</v>
      </c>
      <c r="E24" s="16" t="s">
        <v>450</v>
      </c>
      <c r="F24" s="16" t="s">
        <v>496</v>
      </c>
      <c r="G24" t="s">
        <v>381</v>
      </c>
      <c r="H24" s="3">
        <v>41826</v>
      </c>
      <c r="I24" s="5">
        <v>602009020</v>
      </c>
      <c r="J24" t="s">
        <v>2</v>
      </c>
    </row>
    <row r="25" spans="1:10" ht="15" thickBot="1" x14ac:dyDescent="0.4">
      <c r="A25">
        <v>11</v>
      </c>
      <c r="B25" s="16" t="s">
        <v>179</v>
      </c>
      <c r="C25" s="16" t="s">
        <v>1043</v>
      </c>
      <c r="D25" s="16" t="s">
        <v>651</v>
      </c>
      <c r="E25" s="16" t="s">
        <v>436</v>
      </c>
      <c r="F25" s="16" t="s">
        <v>394</v>
      </c>
      <c r="G25" t="s">
        <v>381</v>
      </c>
      <c r="H25" s="3">
        <v>40982</v>
      </c>
      <c r="I25" s="5">
        <v>431917355</v>
      </c>
      <c r="J25" t="s">
        <v>2</v>
      </c>
    </row>
    <row r="26" spans="1:10" ht="15" thickBot="1" x14ac:dyDescent="0.4">
      <c r="A26">
        <v>12</v>
      </c>
      <c r="B26" s="16" t="s">
        <v>180</v>
      </c>
      <c r="C26" s="16" t="s">
        <v>1044</v>
      </c>
      <c r="D26" s="16" t="s">
        <v>652</v>
      </c>
      <c r="E26" s="16" t="s">
        <v>785</v>
      </c>
      <c r="F26" s="16" t="s">
        <v>653</v>
      </c>
      <c r="G26" t="s">
        <v>381</v>
      </c>
      <c r="H26" s="3">
        <v>40734</v>
      </c>
      <c r="I26" s="5">
        <v>431974155</v>
      </c>
      <c r="J26" t="s">
        <v>2</v>
      </c>
    </row>
    <row r="27" spans="1:10" ht="15" thickBot="1" x14ac:dyDescent="0.4">
      <c r="A27">
        <v>13</v>
      </c>
      <c r="B27" s="16" t="s">
        <v>181</v>
      </c>
      <c r="C27" s="16"/>
      <c r="D27" s="16" t="s">
        <v>419</v>
      </c>
      <c r="E27" s="16" t="s">
        <v>375</v>
      </c>
      <c r="F27" s="16" t="s">
        <v>376</v>
      </c>
      <c r="G27" t="s">
        <v>380</v>
      </c>
      <c r="H27" s="3">
        <v>41504</v>
      </c>
      <c r="I27" s="5">
        <v>432129532</v>
      </c>
      <c r="J27" t="s">
        <v>2</v>
      </c>
    </row>
    <row r="28" spans="1:10" ht="15" thickBot="1" x14ac:dyDescent="0.4">
      <c r="A28">
        <v>14</v>
      </c>
      <c r="B28" s="16" t="s">
        <v>182</v>
      </c>
      <c r="C28" s="16" t="s">
        <v>1045</v>
      </c>
      <c r="D28" s="16" t="s">
        <v>419</v>
      </c>
      <c r="E28" s="16" t="s">
        <v>1046</v>
      </c>
      <c r="F28" s="16" t="s">
        <v>653</v>
      </c>
      <c r="G28" t="s">
        <v>381</v>
      </c>
      <c r="H28" s="3">
        <v>41255</v>
      </c>
      <c r="I28" s="5">
        <v>432201889</v>
      </c>
      <c r="J28" t="s">
        <v>2</v>
      </c>
    </row>
    <row r="29" spans="1:10" ht="15" thickBot="1" x14ac:dyDescent="0.4">
      <c r="A29">
        <v>15</v>
      </c>
      <c r="B29" s="16" t="s">
        <v>183</v>
      </c>
      <c r="C29" s="16" t="s">
        <v>1047</v>
      </c>
      <c r="D29" s="16" t="s">
        <v>419</v>
      </c>
      <c r="E29" s="16" t="s">
        <v>1048</v>
      </c>
      <c r="F29" s="16" t="s">
        <v>653</v>
      </c>
      <c r="G29" t="s">
        <v>381</v>
      </c>
      <c r="H29" s="3">
        <v>41557</v>
      </c>
      <c r="I29" s="5">
        <v>431983600</v>
      </c>
      <c r="J29" t="s">
        <v>2</v>
      </c>
    </row>
    <row r="30" spans="1:10" ht="15" thickBot="1" x14ac:dyDescent="0.4">
      <c r="A30">
        <v>16</v>
      </c>
      <c r="B30" s="16" t="s">
        <v>184</v>
      </c>
      <c r="C30" s="16" t="s">
        <v>1049</v>
      </c>
      <c r="D30" s="16" t="s">
        <v>419</v>
      </c>
      <c r="E30" s="16" t="s">
        <v>433</v>
      </c>
      <c r="F30" s="16" t="s">
        <v>554</v>
      </c>
      <c r="G30" t="s">
        <v>380</v>
      </c>
      <c r="H30" s="3">
        <v>41432</v>
      </c>
      <c r="I30" s="5">
        <v>431724143</v>
      </c>
      <c r="J30" t="s">
        <v>2</v>
      </c>
    </row>
    <row r="31" spans="1:10" ht="15" thickBot="1" x14ac:dyDescent="0.4">
      <c r="A31">
        <v>17</v>
      </c>
      <c r="B31" s="16" t="s">
        <v>185</v>
      </c>
      <c r="C31" s="16" t="s">
        <v>1050</v>
      </c>
      <c r="D31" s="16" t="s">
        <v>427</v>
      </c>
      <c r="E31" s="16" t="s">
        <v>483</v>
      </c>
      <c r="F31" s="16" t="s">
        <v>654</v>
      </c>
      <c r="G31" t="s">
        <v>380</v>
      </c>
      <c r="H31" s="3">
        <v>41643</v>
      </c>
      <c r="I31" s="5">
        <v>432006828</v>
      </c>
      <c r="J31" t="s">
        <v>2</v>
      </c>
    </row>
    <row r="32" spans="1:10" ht="15" thickBot="1" x14ac:dyDescent="0.4">
      <c r="A32">
        <v>18</v>
      </c>
      <c r="B32" s="16" t="s">
        <v>186</v>
      </c>
      <c r="C32" s="16" t="s">
        <v>1051</v>
      </c>
      <c r="D32" s="16" t="s">
        <v>427</v>
      </c>
      <c r="E32" s="16" t="s">
        <v>1052</v>
      </c>
      <c r="F32" s="16" t="s">
        <v>655</v>
      </c>
      <c r="G32" t="s">
        <v>381</v>
      </c>
      <c r="H32" s="3">
        <v>41684</v>
      </c>
      <c r="I32" s="5">
        <v>432201892</v>
      </c>
      <c r="J32" t="s">
        <v>2</v>
      </c>
    </row>
    <row r="33" spans="1:10" ht="15" thickBot="1" x14ac:dyDescent="0.4">
      <c r="A33">
        <v>19</v>
      </c>
      <c r="B33" s="16" t="s">
        <v>187</v>
      </c>
      <c r="C33" s="16"/>
      <c r="D33" s="16" t="s">
        <v>427</v>
      </c>
      <c r="E33" s="16" t="s">
        <v>1032</v>
      </c>
      <c r="F33" s="16" t="s">
        <v>419</v>
      </c>
      <c r="G33" t="s">
        <v>380</v>
      </c>
      <c r="H33" s="3">
        <v>40688</v>
      </c>
      <c r="I33" s="5">
        <v>431329878</v>
      </c>
      <c r="J33" t="s">
        <v>2</v>
      </c>
    </row>
    <row r="34" spans="1:10" ht="15" thickBot="1" x14ac:dyDescent="0.4">
      <c r="A34">
        <v>20</v>
      </c>
      <c r="B34" s="16" t="s">
        <v>188</v>
      </c>
      <c r="C34" s="16"/>
      <c r="D34" s="16" t="s">
        <v>427</v>
      </c>
      <c r="E34" s="16" t="s">
        <v>720</v>
      </c>
      <c r="F34" s="16" t="s">
        <v>656</v>
      </c>
      <c r="G34" t="s">
        <v>381</v>
      </c>
      <c r="H34" s="3">
        <v>41483</v>
      </c>
      <c r="I34" s="5">
        <v>1221403601</v>
      </c>
      <c r="J34" t="s">
        <v>2</v>
      </c>
    </row>
    <row r="35" spans="1:10" ht="15" thickBot="1" x14ac:dyDescent="0.4">
      <c r="A35">
        <v>21</v>
      </c>
      <c r="B35" s="16" t="s">
        <v>189</v>
      </c>
      <c r="C35" s="16"/>
      <c r="D35" s="16" t="s">
        <v>427</v>
      </c>
      <c r="E35" s="16" t="s">
        <v>533</v>
      </c>
      <c r="F35" s="16" t="s">
        <v>376</v>
      </c>
      <c r="G35" t="s">
        <v>380</v>
      </c>
      <c r="H35" s="3">
        <v>41261</v>
      </c>
      <c r="I35" s="5" t="s">
        <v>190</v>
      </c>
      <c r="J35" t="s">
        <v>2</v>
      </c>
    </row>
    <row r="36" spans="1:10" ht="15" thickBot="1" x14ac:dyDescent="0.4">
      <c r="A36">
        <v>22</v>
      </c>
      <c r="B36" s="16" t="s">
        <v>191</v>
      </c>
      <c r="C36" s="16" t="s">
        <v>1053</v>
      </c>
      <c r="D36" s="16" t="s">
        <v>447</v>
      </c>
      <c r="E36" s="16" t="s">
        <v>462</v>
      </c>
      <c r="F36" s="16" t="s">
        <v>456</v>
      </c>
      <c r="G36" t="s">
        <v>380</v>
      </c>
      <c r="H36" s="3">
        <v>41513</v>
      </c>
      <c r="I36" s="5">
        <v>431983386</v>
      </c>
      <c r="J36" t="s">
        <v>2</v>
      </c>
    </row>
    <row r="37" spans="1:10" ht="15" thickBot="1" x14ac:dyDescent="0.4">
      <c r="A37">
        <v>23</v>
      </c>
      <c r="B37" s="16" t="s">
        <v>192</v>
      </c>
      <c r="C37" s="16" t="s">
        <v>1054</v>
      </c>
      <c r="D37" s="16" t="s">
        <v>447</v>
      </c>
      <c r="E37" s="16" t="s">
        <v>477</v>
      </c>
      <c r="F37" s="16" t="s">
        <v>658</v>
      </c>
      <c r="G37" t="s">
        <v>380</v>
      </c>
      <c r="H37" s="3">
        <v>45902</v>
      </c>
      <c r="I37" s="5">
        <v>261526129</v>
      </c>
      <c r="J37" t="s">
        <v>2</v>
      </c>
    </row>
    <row r="38" spans="1:10" ht="15" thickBot="1" x14ac:dyDescent="0.4">
      <c r="A38">
        <v>24</v>
      </c>
      <c r="B38" s="16" t="s">
        <v>193</v>
      </c>
      <c r="C38" s="16"/>
      <c r="D38" s="16" t="s">
        <v>623</v>
      </c>
      <c r="E38" s="16" t="s">
        <v>1055</v>
      </c>
      <c r="F38" s="16" t="s">
        <v>646</v>
      </c>
      <c r="G38" t="s">
        <v>381</v>
      </c>
      <c r="H38" s="3">
        <v>41435</v>
      </c>
      <c r="I38" s="5">
        <v>432103347</v>
      </c>
      <c r="J38" t="s">
        <v>2</v>
      </c>
    </row>
    <row r="39" spans="1:10" ht="15" thickBot="1" x14ac:dyDescent="0.4">
      <c r="A39">
        <v>25</v>
      </c>
      <c r="B39" s="16" t="s">
        <v>194</v>
      </c>
      <c r="C39" s="16" t="s">
        <v>1056</v>
      </c>
      <c r="D39" s="16" t="s">
        <v>659</v>
      </c>
      <c r="E39" s="16" t="s">
        <v>1057</v>
      </c>
      <c r="F39" s="16" t="s">
        <v>660</v>
      </c>
      <c r="G39" t="s">
        <v>380</v>
      </c>
      <c r="H39" s="3">
        <v>41330</v>
      </c>
      <c r="I39" s="5">
        <v>261847273</v>
      </c>
      <c r="J39" t="s">
        <v>2</v>
      </c>
    </row>
    <row r="40" spans="1:10" ht="15" thickBot="1" x14ac:dyDescent="0.4">
      <c r="A40">
        <v>26</v>
      </c>
      <c r="B40" s="16" t="s">
        <v>195</v>
      </c>
      <c r="C40" s="16" t="s">
        <v>1058</v>
      </c>
      <c r="D40" s="16" t="s">
        <v>511</v>
      </c>
      <c r="E40" s="16" t="s">
        <v>548</v>
      </c>
      <c r="F40" s="16" t="s">
        <v>456</v>
      </c>
      <c r="G40" t="s">
        <v>380</v>
      </c>
      <c r="H40" s="3">
        <v>41441</v>
      </c>
      <c r="I40" s="5">
        <v>431957335</v>
      </c>
      <c r="J40" t="s">
        <v>2</v>
      </c>
    </row>
    <row r="41" spans="1:10" ht="15" thickBot="1" x14ac:dyDescent="0.4">
      <c r="A41">
        <v>27</v>
      </c>
      <c r="B41" s="16" t="s">
        <v>196</v>
      </c>
      <c r="C41" s="16" t="s">
        <v>1058</v>
      </c>
      <c r="D41" s="16" t="s">
        <v>511</v>
      </c>
      <c r="E41" s="16" t="s">
        <v>1059</v>
      </c>
      <c r="F41" s="16" t="s">
        <v>447</v>
      </c>
      <c r="G41" t="s">
        <v>380</v>
      </c>
      <c r="H41" s="3">
        <v>41336</v>
      </c>
      <c r="I41" s="5">
        <v>431973750</v>
      </c>
      <c r="J41" t="s">
        <v>2</v>
      </c>
    </row>
    <row r="42" spans="1:10" ht="15" thickBot="1" x14ac:dyDescent="0.4">
      <c r="A42">
        <v>28</v>
      </c>
      <c r="B42" s="16" t="s">
        <v>197</v>
      </c>
      <c r="C42" s="16"/>
      <c r="D42" s="16" t="s">
        <v>511</v>
      </c>
      <c r="E42" s="16" t="s">
        <v>533</v>
      </c>
      <c r="F42" s="16" t="s">
        <v>376</v>
      </c>
      <c r="G42" t="s">
        <v>380</v>
      </c>
      <c r="H42" s="3">
        <v>42987</v>
      </c>
      <c r="I42" s="5">
        <v>432017504</v>
      </c>
      <c r="J42" t="s">
        <v>2</v>
      </c>
    </row>
    <row r="43" spans="1:10" ht="15" thickBot="1" x14ac:dyDescent="0.4">
      <c r="A43">
        <v>29</v>
      </c>
      <c r="B43" s="16" t="s">
        <v>198</v>
      </c>
      <c r="C43" s="16"/>
      <c r="D43" s="16" t="s">
        <v>453</v>
      </c>
      <c r="E43" s="16" t="s">
        <v>594</v>
      </c>
      <c r="F43" s="16" t="s">
        <v>661</v>
      </c>
      <c r="G43" t="s">
        <v>380</v>
      </c>
      <c r="H43" s="3">
        <v>41176</v>
      </c>
      <c r="I43" s="5">
        <v>431983622</v>
      </c>
      <c r="J43" t="s">
        <v>2</v>
      </c>
    </row>
    <row r="44" spans="1:10" ht="15" thickBot="1" x14ac:dyDescent="0.4">
      <c r="A44">
        <v>30</v>
      </c>
      <c r="B44" s="16" t="s">
        <v>199</v>
      </c>
      <c r="C44" s="16"/>
      <c r="D44" s="16" t="s">
        <v>662</v>
      </c>
      <c r="E44" s="16" t="s">
        <v>1060</v>
      </c>
      <c r="F44" s="16" t="s">
        <v>663</v>
      </c>
      <c r="G44" t="s">
        <v>381</v>
      </c>
      <c r="H44" s="3">
        <v>41270</v>
      </c>
      <c r="I44" s="5">
        <v>431523214</v>
      </c>
      <c r="J44" t="s">
        <v>2</v>
      </c>
    </row>
    <row r="45" spans="1:10" ht="15" thickBot="1" x14ac:dyDescent="0.4">
      <c r="A45">
        <v>31</v>
      </c>
      <c r="B45" s="16" t="s">
        <v>200</v>
      </c>
      <c r="C45" s="16"/>
      <c r="D45" s="16" t="s">
        <v>456</v>
      </c>
      <c r="E45" s="16" t="s">
        <v>527</v>
      </c>
      <c r="F45" s="17" t="s">
        <v>1061</v>
      </c>
      <c r="G45" t="s">
        <v>381</v>
      </c>
      <c r="H45" s="3">
        <v>41171</v>
      </c>
      <c r="I45" s="5">
        <v>431851141</v>
      </c>
      <c r="J45" t="s">
        <v>2</v>
      </c>
    </row>
    <row r="46" spans="1:10" ht="15" thickBot="1" x14ac:dyDescent="0.4">
      <c r="A46">
        <v>32</v>
      </c>
      <c r="B46" s="16" t="s">
        <v>201</v>
      </c>
      <c r="C46" s="16"/>
      <c r="D46" s="16" t="s">
        <v>456</v>
      </c>
      <c r="E46" s="16" t="s">
        <v>602</v>
      </c>
      <c r="F46" s="16" t="s">
        <v>376</v>
      </c>
      <c r="G46" t="s">
        <v>380</v>
      </c>
      <c r="H46" s="3">
        <v>42736</v>
      </c>
      <c r="I46" s="5" t="s">
        <v>202</v>
      </c>
      <c r="J46" t="s">
        <v>2</v>
      </c>
    </row>
    <row r="47" spans="1:10" ht="15" thickBot="1" x14ac:dyDescent="0.4">
      <c r="A47">
        <v>33</v>
      </c>
      <c r="B47" s="16" t="s">
        <v>203</v>
      </c>
      <c r="C47" s="16" t="s">
        <v>1062</v>
      </c>
      <c r="D47" s="16" t="s">
        <v>456</v>
      </c>
      <c r="E47" s="16" t="s">
        <v>1063</v>
      </c>
      <c r="F47" s="16" t="s">
        <v>394</v>
      </c>
      <c r="G47" t="s">
        <v>381</v>
      </c>
      <c r="H47" s="3">
        <v>40905</v>
      </c>
      <c r="I47" s="5">
        <v>431974157</v>
      </c>
      <c r="J47" t="s">
        <v>2</v>
      </c>
    </row>
    <row r="48" spans="1:10" ht="15" thickBot="1" x14ac:dyDescent="0.4">
      <c r="A48">
        <v>34</v>
      </c>
      <c r="B48" s="16" t="s">
        <v>204</v>
      </c>
      <c r="C48" s="16" t="s">
        <v>1064</v>
      </c>
      <c r="D48" s="16" t="s">
        <v>456</v>
      </c>
      <c r="E48" s="16" t="s">
        <v>1065</v>
      </c>
      <c r="F48" s="16" t="s">
        <v>427</v>
      </c>
      <c r="G48" t="s">
        <v>380</v>
      </c>
      <c r="H48" s="3">
        <v>41049</v>
      </c>
      <c r="I48" s="5">
        <v>432125082</v>
      </c>
      <c r="J48" t="s">
        <v>2</v>
      </c>
    </row>
    <row r="49" spans="1:10" ht="15" thickBot="1" x14ac:dyDescent="0.4">
      <c r="A49">
        <v>35</v>
      </c>
      <c r="B49" s="16" t="s">
        <v>205</v>
      </c>
      <c r="C49" s="16" t="s">
        <v>1066</v>
      </c>
      <c r="D49" s="16" t="s">
        <v>465</v>
      </c>
      <c r="E49" s="16" t="s">
        <v>1067</v>
      </c>
      <c r="F49" s="16" t="s">
        <v>480</v>
      </c>
      <c r="G49" t="s">
        <v>381</v>
      </c>
      <c r="H49" s="3">
        <v>41110</v>
      </c>
      <c r="I49" s="5">
        <v>431314210</v>
      </c>
      <c r="J49" t="s">
        <v>2</v>
      </c>
    </row>
    <row r="50" spans="1:10" ht="15" thickBot="1" x14ac:dyDescent="0.4">
      <c r="A50">
        <v>36</v>
      </c>
      <c r="B50" s="16" t="s">
        <v>206</v>
      </c>
      <c r="C50" s="16"/>
      <c r="D50" s="16" t="s">
        <v>664</v>
      </c>
      <c r="E50" s="16" t="s">
        <v>375</v>
      </c>
      <c r="F50" s="16" t="s">
        <v>447</v>
      </c>
      <c r="G50" t="s">
        <v>380</v>
      </c>
      <c r="H50" s="3">
        <v>41242</v>
      </c>
      <c r="I50" s="5">
        <v>431981367</v>
      </c>
      <c r="J50" t="s">
        <v>2</v>
      </c>
    </row>
    <row r="51" spans="1:10" ht="15" thickBot="1" x14ac:dyDescent="0.4">
      <c r="A51">
        <v>37</v>
      </c>
      <c r="B51" s="16" t="s">
        <v>207</v>
      </c>
      <c r="C51" s="16" t="s">
        <v>1068</v>
      </c>
      <c r="D51" s="16" t="s">
        <v>665</v>
      </c>
      <c r="E51" s="16" t="s">
        <v>1069</v>
      </c>
      <c r="F51" s="16" t="s">
        <v>666</v>
      </c>
      <c r="G51" t="s">
        <v>381</v>
      </c>
      <c r="H51" s="3">
        <v>41224</v>
      </c>
      <c r="I51" s="5" t="s">
        <v>208</v>
      </c>
      <c r="J51" t="s">
        <v>2</v>
      </c>
    </row>
    <row r="52" spans="1:10" ht="15" thickBot="1" x14ac:dyDescent="0.4">
      <c r="A52">
        <v>38</v>
      </c>
      <c r="B52" s="16" t="s">
        <v>209</v>
      </c>
      <c r="C52" s="16" t="s">
        <v>1070</v>
      </c>
      <c r="D52" s="16" t="s">
        <v>376</v>
      </c>
      <c r="E52" s="16" t="s">
        <v>1071</v>
      </c>
      <c r="F52" s="16" t="s">
        <v>383</v>
      </c>
      <c r="G52" t="s">
        <v>381</v>
      </c>
      <c r="H52" s="3">
        <v>41974</v>
      </c>
      <c r="I52" s="5">
        <v>431984089</v>
      </c>
      <c r="J52" t="s">
        <v>2</v>
      </c>
    </row>
    <row r="53" spans="1:10" ht="15" thickBot="1" x14ac:dyDescent="0.4">
      <c r="A53">
        <v>39</v>
      </c>
      <c r="B53" s="16" t="s">
        <v>210</v>
      </c>
      <c r="C53" s="16" t="s">
        <v>1072</v>
      </c>
      <c r="D53" s="16" t="s">
        <v>376</v>
      </c>
      <c r="E53" s="16" t="s">
        <v>905</v>
      </c>
      <c r="F53" s="16" t="s">
        <v>667</v>
      </c>
      <c r="G53" t="s">
        <v>381</v>
      </c>
      <c r="H53" s="3">
        <v>41499</v>
      </c>
      <c r="I53" s="5">
        <v>431983058</v>
      </c>
      <c r="J53" t="s">
        <v>2</v>
      </c>
    </row>
    <row r="54" spans="1:10" ht="15" thickBot="1" x14ac:dyDescent="0.4">
      <c r="A54">
        <v>40</v>
      </c>
      <c r="B54" s="16" t="s">
        <v>211</v>
      </c>
      <c r="C54" s="16" t="s">
        <v>1073</v>
      </c>
      <c r="D54" s="16" t="s">
        <v>376</v>
      </c>
      <c r="E54" s="16" t="s">
        <v>576</v>
      </c>
      <c r="F54" s="16" t="s">
        <v>427</v>
      </c>
      <c r="G54" t="s">
        <v>380</v>
      </c>
      <c r="H54" s="3">
        <v>41265</v>
      </c>
      <c r="I54" s="5">
        <v>431724141</v>
      </c>
      <c r="J54" t="s">
        <v>2</v>
      </c>
    </row>
    <row r="55" spans="1:10" ht="15" thickBot="1" x14ac:dyDescent="0.4">
      <c r="A55">
        <v>41</v>
      </c>
      <c r="B55" s="16" t="s">
        <v>212</v>
      </c>
      <c r="C55" s="16" t="s">
        <v>1074</v>
      </c>
      <c r="D55" s="16" t="s">
        <v>376</v>
      </c>
      <c r="E55" s="16" t="s">
        <v>717</v>
      </c>
      <c r="F55" s="16" t="s">
        <v>427</v>
      </c>
      <c r="G55" t="s">
        <v>380</v>
      </c>
      <c r="H55" s="3">
        <v>41265</v>
      </c>
      <c r="I55" s="5">
        <v>431723980</v>
      </c>
      <c r="J55" t="s">
        <v>2</v>
      </c>
    </row>
    <row r="56" spans="1:10" ht="15" thickBot="1" x14ac:dyDescent="0.4">
      <c r="A56">
        <v>42</v>
      </c>
      <c r="B56" s="16" t="s">
        <v>213</v>
      </c>
      <c r="C56" s="16" t="s">
        <v>1075</v>
      </c>
      <c r="D56" s="16" t="s">
        <v>376</v>
      </c>
      <c r="E56" s="16" t="s">
        <v>1076</v>
      </c>
      <c r="F56" s="16" t="s">
        <v>668</v>
      </c>
      <c r="G56" t="s">
        <v>381</v>
      </c>
      <c r="H56" s="3">
        <v>40936</v>
      </c>
      <c r="I56" s="5">
        <v>261875928</v>
      </c>
      <c r="J56" t="s">
        <v>2</v>
      </c>
    </row>
    <row r="57" spans="1:10" ht="15" thickBot="1" x14ac:dyDescent="0.4">
      <c r="A57">
        <v>43</v>
      </c>
      <c r="B57" s="16" t="s">
        <v>214</v>
      </c>
      <c r="C57" s="16" t="s">
        <v>1077</v>
      </c>
      <c r="D57" s="16" t="s">
        <v>376</v>
      </c>
      <c r="E57" s="16" t="s">
        <v>1078</v>
      </c>
      <c r="F57" s="16" t="s">
        <v>435</v>
      </c>
      <c r="G57" t="s">
        <v>380</v>
      </c>
      <c r="H57" s="3">
        <v>41739</v>
      </c>
      <c r="I57" s="5">
        <v>431624821</v>
      </c>
      <c r="J57" t="s">
        <v>2</v>
      </c>
    </row>
    <row r="58" spans="1:10" ht="15" thickBot="1" x14ac:dyDescent="0.4">
      <c r="A58">
        <v>44</v>
      </c>
      <c r="B58" s="16" t="s">
        <v>215</v>
      </c>
      <c r="C58" s="16"/>
      <c r="D58" s="16" t="s">
        <v>376</v>
      </c>
      <c r="E58" s="16" t="s">
        <v>1079</v>
      </c>
      <c r="F58" s="16" t="s">
        <v>427</v>
      </c>
      <c r="G58" t="s">
        <v>380</v>
      </c>
      <c r="H58" s="3">
        <v>41880</v>
      </c>
      <c r="I58" s="5">
        <v>261492653</v>
      </c>
      <c r="J58" t="s">
        <v>2</v>
      </c>
    </row>
    <row r="59" spans="1:10" ht="15" thickBot="1" x14ac:dyDescent="0.4">
      <c r="A59">
        <v>45</v>
      </c>
      <c r="B59" s="16" t="s">
        <v>216</v>
      </c>
      <c r="C59" s="16" t="s">
        <v>1080</v>
      </c>
      <c r="D59" s="16" t="s">
        <v>376</v>
      </c>
      <c r="E59" s="16" t="s">
        <v>1081</v>
      </c>
      <c r="F59" s="16" t="s">
        <v>383</v>
      </c>
      <c r="G59" t="s">
        <v>381</v>
      </c>
      <c r="H59" s="3">
        <v>40688</v>
      </c>
      <c r="I59" s="5">
        <v>431974160</v>
      </c>
      <c r="J59" t="s">
        <v>2</v>
      </c>
    </row>
    <row r="60" spans="1:10" ht="15" thickBot="1" x14ac:dyDescent="0.4">
      <c r="A60">
        <v>46</v>
      </c>
      <c r="B60" s="16" t="s">
        <v>217</v>
      </c>
      <c r="C60" s="16" t="s">
        <v>1025</v>
      </c>
      <c r="D60" s="16" t="s">
        <v>376</v>
      </c>
      <c r="E60" s="16" t="s">
        <v>477</v>
      </c>
      <c r="F60" s="16" t="s">
        <v>484</v>
      </c>
      <c r="G60" t="s">
        <v>380</v>
      </c>
      <c r="H60" s="3">
        <v>39760</v>
      </c>
      <c r="I60" s="5">
        <v>431984064</v>
      </c>
      <c r="J60" t="s">
        <v>2</v>
      </c>
    </row>
    <row r="61" spans="1:10" ht="15" thickBot="1" x14ac:dyDescent="0.4">
      <c r="A61">
        <v>47</v>
      </c>
      <c r="B61" s="16" t="s">
        <v>218</v>
      </c>
      <c r="C61" s="16" t="s">
        <v>1082</v>
      </c>
      <c r="D61" s="16" t="s">
        <v>669</v>
      </c>
      <c r="E61" s="16" t="s">
        <v>1083</v>
      </c>
      <c r="F61" s="16" t="s">
        <v>419</v>
      </c>
      <c r="G61" t="s">
        <v>380</v>
      </c>
      <c r="H61" s="3">
        <v>41451</v>
      </c>
      <c r="I61" s="5">
        <v>431972040</v>
      </c>
      <c r="J61" t="s">
        <v>2</v>
      </c>
    </row>
    <row r="62" spans="1:10" ht="15" thickBot="1" x14ac:dyDescent="0.4">
      <c r="A62">
        <v>48</v>
      </c>
      <c r="B62" s="16" t="s">
        <v>219</v>
      </c>
      <c r="C62" s="16" t="s">
        <v>1024</v>
      </c>
      <c r="D62" s="16" t="s">
        <v>382</v>
      </c>
      <c r="E62" s="16" t="s">
        <v>1084</v>
      </c>
      <c r="F62" s="16" t="s">
        <v>656</v>
      </c>
      <c r="G62" t="s">
        <v>381</v>
      </c>
      <c r="H62" s="3">
        <v>41984</v>
      </c>
      <c r="I62" s="5">
        <v>432207903</v>
      </c>
      <c r="J62" t="s">
        <v>2</v>
      </c>
    </row>
    <row r="63" spans="1:10" ht="15" thickBot="1" x14ac:dyDescent="0.4">
      <c r="A63">
        <v>49</v>
      </c>
      <c r="B63" s="16" t="s">
        <v>220</v>
      </c>
      <c r="C63" s="16" t="s">
        <v>1085</v>
      </c>
      <c r="D63" s="16" t="s">
        <v>670</v>
      </c>
      <c r="E63" s="16" t="s">
        <v>1086</v>
      </c>
      <c r="F63" s="16" t="s">
        <v>427</v>
      </c>
      <c r="G63" t="s">
        <v>380</v>
      </c>
      <c r="H63" s="3">
        <v>41235</v>
      </c>
      <c r="I63" s="5">
        <v>431974153</v>
      </c>
      <c r="J63" t="s">
        <v>2</v>
      </c>
    </row>
    <row r="64" spans="1:10" ht="15" thickBot="1" x14ac:dyDescent="0.4">
      <c r="A64">
        <v>50</v>
      </c>
      <c r="B64" s="16" t="s">
        <v>221</v>
      </c>
      <c r="C64" s="16" t="s">
        <v>1087</v>
      </c>
      <c r="D64" s="16" t="s">
        <v>671</v>
      </c>
      <c r="E64" s="16" t="s">
        <v>788</v>
      </c>
      <c r="F64" s="16" t="s">
        <v>498</v>
      </c>
      <c r="G64" t="s">
        <v>381</v>
      </c>
      <c r="H64" s="3">
        <v>40918</v>
      </c>
      <c r="I64" s="5">
        <v>431983385</v>
      </c>
      <c r="J64" t="s">
        <v>2</v>
      </c>
    </row>
    <row r="65" spans="1:10" ht="15" thickBot="1" x14ac:dyDescent="0.4">
      <c r="A65">
        <v>51</v>
      </c>
      <c r="B65" s="16" t="s">
        <v>222</v>
      </c>
      <c r="C65" s="16" t="s">
        <v>1088</v>
      </c>
      <c r="D65" s="16" t="s">
        <v>519</v>
      </c>
      <c r="E65" s="16" t="s">
        <v>510</v>
      </c>
      <c r="F65" s="16" t="s">
        <v>377</v>
      </c>
      <c r="G65" t="s">
        <v>381</v>
      </c>
      <c r="H65" s="3">
        <v>41451</v>
      </c>
      <c r="I65" s="5">
        <v>431606677</v>
      </c>
      <c r="J65" t="s">
        <v>2</v>
      </c>
    </row>
    <row r="66" spans="1:10" ht="15" thickBot="1" x14ac:dyDescent="0.4">
      <c r="A66">
        <v>52</v>
      </c>
      <c r="B66" s="16" t="s">
        <v>223</v>
      </c>
      <c r="C66" s="16"/>
      <c r="D66" s="16" t="s">
        <v>672</v>
      </c>
      <c r="E66" s="16" t="s">
        <v>1089</v>
      </c>
      <c r="F66" s="16" t="s">
        <v>673</v>
      </c>
      <c r="G66" t="s">
        <v>380</v>
      </c>
      <c r="H66" s="3">
        <v>41440</v>
      </c>
      <c r="I66" s="5">
        <v>2613107910</v>
      </c>
      <c r="J66" t="s">
        <v>2</v>
      </c>
    </row>
    <row r="67" spans="1:10" x14ac:dyDescent="0.35">
      <c r="A67">
        <v>53</v>
      </c>
    </row>
    <row r="68" spans="1:10" x14ac:dyDescent="0.35">
      <c r="A68">
        <v>54</v>
      </c>
    </row>
    <row r="69" spans="1:10" x14ac:dyDescent="0.35">
      <c r="A69">
        <v>55</v>
      </c>
    </row>
    <row r="70" spans="1:10" x14ac:dyDescent="0.35">
      <c r="A70">
        <v>56</v>
      </c>
    </row>
    <row r="71" spans="1:10" x14ac:dyDescent="0.35">
      <c r="A71">
        <v>57</v>
      </c>
    </row>
    <row r="72" spans="1:10" x14ac:dyDescent="0.35">
      <c r="A72">
        <v>58</v>
      </c>
    </row>
    <row r="73" spans="1:10" x14ac:dyDescent="0.35">
      <c r="A73">
        <v>59</v>
      </c>
    </row>
    <row r="74" spans="1:10" x14ac:dyDescent="0.35">
      <c r="A74">
        <v>60</v>
      </c>
    </row>
  </sheetData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7BC9-197D-43C9-BFA0-D2974A29D400}">
  <dimension ref="A1:J74"/>
  <sheetViews>
    <sheetView topLeftCell="A38" workbookViewId="0">
      <selection activeCell="E48" sqref="E48"/>
    </sheetView>
  </sheetViews>
  <sheetFormatPr defaultRowHeight="14.5" x14ac:dyDescent="0.35"/>
  <cols>
    <col min="1" max="1" width="5.08984375" bestFit="1" customWidth="1"/>
    <col min="2" max="2" width="8.26953125" bestFit="1" customWidth="1"/>
    <col min="3" max="3" width="12.453125" bestFit="1" customWidth="1"/>
    <col min="4" max="4" width="10.26953125" bestFit="1" customWidth="1"/>
    <col min="5" max="5" width="10.90625" bestFit="1" customWidth="1"/>
    <col min="6" max="6" width="15.4531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style="6" bestFit="1" customWidth="1"/>
  </cols>
  <sheetData>
    <row r="1" spans="1:10" ht="14.5" customHeight="1" x14ac:dyDescent="0.35">
      <c r="A1" s="38" t="s">
        <v>929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customHeight="1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4.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 ht="14.5" customHeight="1" x14ac:dyDescent="0.35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0" ht="14.5" customHeight="1" x14ac:dyDescent="0.35">
      <c r="A5" s="38"/>
      <c r="B5" s="38"/>
      <c r="C5" s="38"/>
      <c r="D5" s="38"/>
      <c r="E5" s="38"/>
      <c r="F5" s="38"/>
      <c r="G5" s="38"/>
      <c r="H5" s="38"/>
      <c r="I5" s="38"/>
      <c r="J5" s="38"/>
    </row>
    <row r="6" spans="1:10" ht="14.5" customHeight="1" x14ac:dyDescent="0.35">
      <c r="A6" s="38"/>
      <c r="B6" s="38"/>
      <c r="C6" s="38"/>
      <c r="D6" s="38"/>
      <c r="E6" s="38"/>
      <c r="F6" s="38"/>
      <c r="G6" s="38"/>
      <c r="H6" s="38"/>
      <c r="I6" s="38"/>
      <c r="J6" s="38"/>
    </row>
    <row r="7" spans="1:10" ht="14.5" customHeight="1" x14ac:dyDescent="0.35">
      <c r="A7" s="38"/>
      <c r="B7" s="38"/>
      <c r="C7" s="38"/>
      <c r="D7" s="38"/>
      <c r="E7" s="38"/>
      <c r="F7" s="38"/>
      <c r="G7" s="38"/>
      <c r="H7" s="38"/>
      <c r="I7" s="38"/>
      <c r="J7" s="38"/>
    </row>
    <row r="8" spans="1:10" ht="14.5" customHeight="1" x14ac:dyDescent="0.35">
      <c r="A8" s="38"/>
      <c r="B8" s="38"/>
      <c r="C8" s="38"/>
      <c r="D8" s="38"/>
      <c r="E8" s="38"/>
      <c r="F8" s="38"/>
      <c r="G8" s="38"/>
      <c r="H8" s="38"/>
      <c r="I8" s="38"/>
      <c r="J8" s="38"/>
    </row>
    <row r="9" spans="1:10" ht="14.5" customHeight="1" x14ac:dyDescent="0.35">
      <c r="A9" s="38"/>
      <c r="B9" s="38"/>
      <c r="C9" s="38"/>
      <c r="D9" s="38"/>
      <c r="E9" s="38"/>
      <c r="F9" s="38"/>
      <c r="G9" s="38"/>
      <c r="H9" s="38"/>
      <c r="I9" s="38"/>
      <c r="J9" s="38"/>
    </row>
    <row r="10" spans="1:10" ht="14.5" customHeight="1" x14ac:dyDescent="0.35">
      <c r="A10" s="38"/>
      <c r="B10" s="38"/>
      <c r="C10" s="38"/>
      <c r="D10" s="38"/>
      <c r="E10" s="38"/>
      <c r="F10" s="38"/>
      <c r="G10" s="38"/>
      <c r="H10" s="38"/>
      <c r="I10" s="38"/>
      <c r="J10" s="38"/>
    </row>
    <row r="11" spans="1:10" ht="14.5" customHeight="1" x14ac:dyDescent="0.35">
      <c r="A11" s="38"/>
      <c r="B11" s="38"/>
      <c r="C11" s="38"/>
      <c r="D11" s="38"/>
      <c r="E11" s="38"/>
      <c r="F11" s="38"/>
      <c r="G11" s="38"/>
      <c r="H11" s="38"/>
      <c r="I11" s="38"/>
      <c r="J11" s="38"/>
    </row>
    <row r="12" spans="1:10" ht="14.5" customHeight="1" x14ac:dyDescent="0.35">
      <c r="A12" s="38"/>
      <c r="B12" s="38"/>
      <c r="C12" s="38"/>
      <c r="D12" s="38"/>
      <c r="E12" s="38"/>
      <c r="F12" s="38"/>
      <c r="G12" s="38"/>
      <c r="H12" s="38"/>
      <c r="I12" s="38"/>
      <c r="J12" s="38"/>
    </row>
    <row r="13" spans="1:10" ht="14.5" customHeight="1" x14ac:dyDescent="0.35">
      <c r="A13" s="38"/>
      <c r="B13" s="38"/>
      <c r="C13" s="38"/>
      <c r="D13" s="38"/>
      <c r="E13" s="38"/>
      <c r="F13" s="38"/>
      <c r="G13" s="38"/>
      <c r="H13" s="38"/>
      <c r="I13" s="38"/>
      <c r="J13" s="38"/>
    </row>
    <row r="14" spans="1:10" s="5" customFormat="1" x14ac:dyDescent="0.35">
      <c r="A14" s="10" t="s">
        <v>930</v>
      </c>
      <c r="B14" s="2" t="s">
        <v>378</v>
      </c>
      <c r="C14" s="2" t="s">
        <v>493</v>
      </c>
      <c r="D14" s="2" t="s">
        <v>385</v>
      </c>
      <c r="E14" s="2" t="s">
        <v>384</v>
      </c>
      <c r="F14" s="2" t="s">
        <v>931</v>
      </c>
      <c r="G14" s="2" t="s">
        <v>0</v>
      </c>
      <c r="H14" s="2" t="s">
        <v>1</v>
      </c>
      <c r="I14" s="2" t="s">
        <v>932</v>
      </c>
      <c r="J14" s="9" t="s">
        <v>933</v>
      </c>
    </row>
    <row r="15" spans="1:10" x14ac:dyDescent="0.35">
      <c r="A15" cm="1">
        <f t="array" ref="A15:A74">_xlfn.SEQUENCE(60)</f>
        <v>1</v>
      </c>
      <c r="B15" t="s">
        <v>224</v>
      </c>
      <c r="C15" t="s">
        <v>977</v>
      </c>
      <c r="D15" t="s">
        <v>525</v>
      </c>
      <c r="E15" t="s">
        <v>674</v>
      </c>
      <c r="F15" t="s">
        <v>376</v>
      </c>
      <c r="G15" t="s">
        <v>380</v>
      </c>
      <c r="H15" s="3">
        <v>40710</v>
      </c>
      <c r="I15" s="5">
        <v>431612507</v>
      </c>
      <c r="J15" s="6" t="s">
        <v>2</v>
      </c>
    </row>
    <row r="16" spans="1:10" x14ac:dyDescent="0.35">
      <c r="A16">
        <v>2</v>
      </c>
      <c r="B16" t="s">
        <v>225</v>
      </c>
      <c r="C16" t="s">
        <v>978</v>
      </c>
      <c r="D16" t="s">
        <v>675</v>
      </c>
      <c r="E16" t="s">
        <v>676</v>
      </c>
      <c r="F16" t="s">
        <v>586</v>
      </c>
      <c r="G16" t="s">
        <v>380</v>
      </c>
      <c r="H16" s="3">
        <v>41267</v>
      </c>
      <c r="I16" s="5">
        <v>431988989</v>
      </c>
      <c r="J16" s="6" t="s">
        <v>2</v>
      </c>
    </row>
    <row r="17" spans="1:10" x14ac:dyDescent="0.35">
      <c r="A17">
        <v>3</v>
      </c>
      <c r="B17" t="s">
        <v>226</v>
      </c>
      <c r="C17" t="s">
        <v>979</v>
      </c>
      <c r="D17" t="s">
        <v>496</v>
      </c>
      <c r="E17" t="s">
        <v>398</v>
      </c>
      <c r="F17" t="s">
        <v>376</v>
      </c>
      <c r="G17" t="s">
        <v>380</v>
      </c>
      <c r="H17" s="3">
        <v>41064</v>
      </c>
      <c r="I17" s="5">
        <v>432223748</v>
      </c>
      <c r="J17" s="6" t="s">
        <v>2</v>
      </c>
    </row>
    <row r="18" spans="1:10" x14ac:dyDescent="0.35">
      <c r="A18">
        <v>4</v>
      </c>
      <c r="B18" t="s">
        <v>227</v>
      </c>
      <c r="C18" t="s">
        <v>980</v>
      </c>
      <c r="D18" t="s">
        <v>677</v>
      </c>
      <c r="E18" t="s">
        <v>678</v>
      </c>
      <c r="F18" t="s">
        <v>454</v>
      </c>
      <c r="G18" t="s">
        <v>380</v>
      </c>
      <c r="H18" s="3">
        <v>40994</v>
      </c>
      <c r="I18" s="5">
        <v>431940724</v>
      </c>
      <c r="J18" s="6" t="s">
        <v>2</v>
      </c>
    </row>
    <row r="19" spans="1:10" x14ac:dyDescent="0.35">
      <c r="A19">
        <v>5</v>
      </c>
      <c r="B19" t="s">
        <v>228</v>
      </c>
      <c r="C19" t="s">
        <v>981</v>
      </c>
      <c r="D19" t="s">
        <v>514</v>
      </c>
      <c r="E19" t="s">
        <v>461</v>
      </c>
      <c r="F19" t="s">
        <v>623</v>
      </c>
      <c r="G19" t="s">
        <v>380</v>
      </c>
      <c r="H19" s="3">
        <v>39780</v>
      </c>
      <c r="I19" s="5">
        <v>432207906</v>
      </c>
      <c r="J19" s="6" t="s">
        <v>2</v>
      </c>
    </row>
    <row r="20" spans="1:10" x14ac:dyDescent="0.35">
      <c r="A20">
        <v>6</v>
      </c>
      <c r="B20" t="s">
        <v>229</v>
      </c>
      <c r="C20" t="s">
        <v>982</v>
      </c>
      <c r="D20" t="s">
        <v>679</v>
      </c>
      <c r="E20" t="s">
        <v>680</v>
      </c>
      <c r="F20" t="s">
        <v>376</v>
      </c>
      <c r="G20" t="s">
        <v>380</v>
      </c>
      <c r="H20" s="3">
        <v>40906</v>
      </c>
      <c r="I20" s="5">
        <v>432404665</v>
      </c>
      <c r="J20" s="6" t="s">
        <v>2</v>
      </c>
    </row>
    <row r="21" spans="1:10" x14ac:dyDescent="0.35">
      <c r="A21">
        <v>7</v>
      </c>
      <c r="B21" t="s">
        <v>230</v>
      </c>
      <c r="C21" t="s">
        <v>983</v>
      </c>
      <c r="D21" t="s">
        <v>606</v>
      </c>
      <c r="E21" t="s">
        <v>681</v>
      </c>
      <c r="F21" t="s">
        <v>682</v>
      </c>
      <c r="G21" t="s">
        <v>381</v>
      </c>
      <c r="H21" s="3">
        <v>40754</v>
      </c>
      <c r="I21" s="5">
        <v>431452176</v>
      </c>
      <c r="J21" s="6" t="s">
        <v>2</v>
      </c>
    </row>
    <row r="22" spans="1:10" x14ac:dyDescent="0.35">
      <c r="A22">
        <v>8</v>
      </c>
      <c r="B22" t="s">
        <v>231</v>
      </c>
      <c r="C22" t="s">
        <v>984</v>
      </c>
      <c r="D22" t="s">
        <v>606</v>
      </c>
      <c r="E22" t="s">
        <v>634</v>
      </c>
      <c r="F22" t="s">
        <v>683</v>
      </c>
      <c r="G22" t="s">
        <v>381</v>
      </c>
      <c r="H22" s="3">
        <v>41120</v>
      </c>
      <c r="I22" s="5">
        <v>431452113</v>
      </c>
      <c r="J22" s="6" t="s">
        <v>2</v>
      </c>
    </row>
    <row r="23" spans="1:10" x14ac:dyDescent="0.35">
      <c r="A23">
        <v>9</v>
      </c>
      <c r="B23" t="s">
        <v>232</v>
      </c>
      <c r="C23" t="s">
        <v>985</v>
      </c>
      <c r="D23" t="s">
        <v>684</v>
      </c>
      <c r="E23" t="s">
        <v>452</v>
      </c>
      <c r="F23" t="s">
        <v>685</v>
      </c>
      <c r="G23" t="s">
        <v>380</v>
      </c>
      <c r="H23" s="3">
        <v>40474</v>
      </c>
      <c r="I23" s="5">
        <v>1231703786</v>
      </c>
      <c r="J23" s="6" t="s">
        <v>2</v>
      </c>
    </row>
    <row r="24" spans="1:10" x14ac:dyDescent="0.35">
      <c r="A24">
        <v>10</v>
      </c>
      <c r="B24" t="s">
        <v>233</v>
      </c>
      <c r="C24" t="s">
        <v>986</v>
      </c>
      <c r="D24" t="s">
        <v>503</v>
      </c>
      <c r="E24" t="s">
        <v>686</v>
      </c>
      <c r="F24" t="s">
        <v>687</v>
      </c>
      <c r="G24" t="s">
        <v>380</v>
      </c>
      <c r="H24" s="3">
        <v>40243</v>
      </c>
      <c r="I24" s="5">
        <v>431520502</v>
      </c>
      <c r="J24" s="6" t="s">
        <v>2</v>
      </c>
    </row>
    <row r="25" spans="1:10" x14ac:dyDescent="0.35">
      <c r="A25">
        <v>11</v>
      </c>
      <c r="B25" t="s">
        <v>234</v>
      </c>
      <c r="C25" t="s">
        <v>1022</v>
      </c>
      <c r="D25" t="s">
        <v>419</v>
      </c>
      <c r="E25" t="s">
        <v>688</v>
      </c>
      <c r="F25" t="s">
        <v>689</v>
      </c>
      <c r="G25" t="s">
        <v>381</v>
      </c>
      <c r="H25" s="3">
        <v>41189</v>
      </c>
      <c r="I25" s="5">
        <v>502408529</v>
      </c>
      <c r="J25" s="6" t="s">
        <v>2</v>
      </c>
    </row>
    <row r="26" spans="1:10" x14ac:dyDescent="0.35">
      <c r="A26">
        <v>12</v>
      </c>
      <c r="B26" t="s">
        <v>235</v>
      </c>
      <c r="C26" t="s">
        <v>987</v>
      </c>
      <c r="D26" t="s">
        <v>419</v>
      </c>
      <c r="E26" t="s">
        <v>547</v>
      </c>
      <c r="F26" t="s">
        <v>554</v>
      </c>
      <c r="G26" t="s">
        <v>381</v>
      </c>
      <c r="H26" s="3">
        <v>40674</v>
      </c>
      <c r="I26" s="5">
        <v>431940724</v>
      </c>
      <c r="J26" s="6" t="s">
        <v>2</v>
      </c>
    </row>
    <row r="27" spans="1:10" x14ac:dyDescent="0.35">
      <c r="A27">
        <v>13</v>
      </c>
      <c r="B27" t="s">
        <v>236</v>
      </c>
      <c r="C27" t="s">
        <v>988</v>
      </c>
      <c r="D27" t="s">
        <v>419</v>
      </c>
      <c r="E27" t="s">
        <v>477</v>
      </c>
      <c r="F27" t="s">
        <v>376</v>
      </c>
      <c r="G27" t="s">
        <v>380</v>
      </c>
      <c r="H27" s="3">
        <v>40456</v>
      </c>
      <c r="I27" s="5">
        <v>432201887</v>
      </c>
      <c r="J27" s="6" t="s">
        <v>2</v>
      </c>
    </row>
    <row r="28" spans="1:10" x14ac:dyDescent="0.35">
      <c r="A28">
        <v>14</v>
      </c>
      <c r="B28" t="s">
        <v>237</v>
      </c>
      <c r="C28" t="s">
        <v>989</v>
      </c>
      <c r="D28" t="s">
        <v>427</v>
      </c>
      <c r="E28" t="s">
        <v>690</v>
      </c>
      <c r="F28" t="s">
        <v>376</v>
      </c>
      <c r="G28" t="s">
        <v>380</v>
      </c>
      <c r="H28" s="3">
        <v>40840</v>
      </c>
      <c r="I28" s="5">
        <v>432206623</v>
      </c>
      <c r="J28" s="6" t="s">
        <v>2</v>
      </c>
    </row>
    <row r="29" spans="1:10" x14ac:dyDescent="0.35">
      <c r="A29">
        <v>15</v>
      </c>
      <c r="B29" t="s">
        <v>238</v>
      </c>
      <c r="C29" t="s">
        <v>990</v>
      </c>
      <c r="D29" t="s">
        <v>427</v>
      </c>
      <c r="E29" t="s">
        <v>602</v>
      </c>
      <c r="F29" t="s">
        <v>419</v>
      </c>
      <c r="G29" t="s">
        <v>380</v>
      </c>
      <c r="H29" s="3">
        <v>40748</v>
      </c>
      <c r="I29" s="5">
        <v>431984196</v>
      </c>
      <c r="J29" s="6" t="s">
        <v>2</v>
      </c>
    </row>
    <row r="30" spans="1:10" x14ac:dyDescent="0.35">
      <c r="A30">
        <v>16</v>
      </c>
      <c r="B30" t="s">
        <v>239</v>
      </c>
      <c r="C30" t="s">
        <v>991</v>
      </c>
      <c r="D30" t="s">
        <v>427</v>
      </c>
      <c r="E30" t="s">
        <v>691</v>
      </c>
      <c r="F30" t="s">
        <v>692</v>
      </c>
      <c r="G30" t="s">
        <v>381</v>
      </c>
      <c r="H30" s="3">
        <v>41153</v>
      </c>
      <c r="I30" s="5">
        <v>432139500</v>
      </c>
      <c r="J30" s="6" t="s">
        <v>2</v>
      </c>
    </row>
    <row r="31" spans="1:10" x14ac:dyDescent="0.35">
      <c r="A31">
        <v>17</v>
      </c>
      <c r="B31" t="s">
        <v>240</v>
      </c>
      <c r="C31" t="s">
        <v>992</v>
      </c>
      <c r="D31" t="s">
        <v>427</v>
      </c>
      <c r="E31" t="s">
        <v>457</v>
      </c>
      <c r="F31" t="s">
        <v>646</v>
      </c>
      <c r="G31" t="s">
        <v>381</v>
      </c>
      <c r="H31" s="3">
        <v>41497</v>
      </c>
      <c r="I31" s="5">
        <v>431701906</v>
      </c>
      <c r="J31" s="6" t="s">
        <v>2</v>
      </c>
    </row>
    <row r="32" spans="1:10" x14ac:dyDescent="0.35">
      <c r="A32">
        <v>18</v>
      </c>
      <c r="B32" t="s">
        <v>241</v>
      </c>
      <c r="C32" t="s">
        <v>993</v>
      </c>
      <c r="D32" t="s">
        <v>693</v>
      </c>
      <c r="E32" t="s">
        <v>694</v>
      </c>
      <c r="F32" t="s">
        <v>695</v>
      </c>
      <c r="G32" t="s">
        <v>380</v>
      </c>
      <c r="H32" s="3">
        <v>40516</v>
      </c>
      <c r="I32" s="5">
        <v>431418222</v>
      </c>
      <c r="J32" s="6" t="s">
        <v>2</v>
      </c>
    </row>
    <row r="33" spans="1:10" x14ac:dyDescent="0.35">
      <c r="A33">
        <v>19</v>
      </c>
      <c r="B33" t="s">
        <v>242</v>
      </c>
      <c r="C33" t="s">
        <v>994</v>
      </c>
      <c r="D33" t="s">
        <v>439</v>
      </c>
      <c r="E33" t="s">
        <v>575</v>
      </c>
      <c r="F33" t="s">
        <v>394</v>
      </c>
      <c r="G33" t="s">
        <v>381</v>
      </c>
      <c r="H33" s="3">
        <v>40673</v>
      </c>
      <c r="I33" s="5">
        <v>431984087</v>
      </c>
      <c r="J33" s="6" t="s">
        <v>2</v>
      </c>
    </row>
    <row r="34" spans="1:10" x14ac:dyDescent="0.35">
      <c r="A34">
        <v>20</v>
      </c>
      <c r="B34" t="s">
        <v>243</v>
      </c>
      <c r="C34" t="s">
        <v>995</v>
      </c>
      <c r="D34" t="s">
        <v>447</v>
      </c>
      <c r="E34" t="s">
        <v>696</v>
      </c>
      <c r="F34" t="s">
        <v>496</v>
      </c>
      <c r="G34" t="s">
        <v>381</v>
      </c>
      <c r="H34" s="3">
        <v>41072</v>
      </c>
      <c r="I34" s="5">
        <v>602100576</v>
      </c>
      <c r="J34" s="6" t="s">
        <v>2</v>
      </c>
    </row>
    <row r="35" spans="1:10" x14ac:dyDescent="0.35">
      <c r="A35">
        <v>21</v>
      </c>
      <c r="B35" t="s">
        <v>244</v>
      </c>
      <c r="C35" t="s">
        <v>996</v>
      </c>
      <c r="D35" t="s">
        <v>565</v>
      </c>
      <c r="E35" t="s">
        <v>697</v>
      </c>
      <c r="F35" t="s">
        <v>653</v>
      </c>
      <c r="G35" t="s">
        <v>381</v>
      </c>
      <c r="H35" s="3">
        <v>40708</v>
      </c>
      <c r="I35" s="5">
        <v>431863050</v>
      </c>
      <c r="J35" s="6" t="s">
        <v>2</v>
      </c>
    </row>
    <row r="36" spans="1:10" x14ac:dyDescent="0.35">
      <c r="A36">
        <v>22</v>
      </c>
      <c r="B36" t="s">
        <v>245</v>
      </c>
      <c r="C36" t="s">
        <v>997</v>
      </c>
      <c r="D36" t="s">
        <v>511</v>
      </c>
      <c r="E36" t="s">
        <v>698</v>
      </c>
      <c r="F36" t="s">
        <v>656</v>
      </c>
      <c r="G36" t="s">
        <v>381</v>
      </c>
      <c r="H36" s="3">
        <v>41424</v>
      </c>
      <c r="I36" s="5">
        <v>432017505</v>
      </c>
      <c r="J36" s="6" t="s">
        <v>2</v>
      </c>
    </row>
    <row r="37" spans="1:10" x14ac:dyDescent="0.35">
      <c r="A37">
        <v>23</v>
      </c>
      <c r="B37" t="s">
        <v>246</v>
      </c>
      <c r="C37" t="s">
        <v>998</v>
      </c>
      <c r="D37" t="s">
        <v>511</v>
      </c>
      <c r="E37" t="s">
        <v>699</v>
      </c>
      <c r="F37" t="s">
        <v>419</v>
      </c>
      <c r="G37" t="s">
        <v>380</v>
      </c>
      <c r="H37" s="3">
        <v>40535</v>
      </c>
      <c r="I37" s="5">
        <v>431701882</v>
      </c>
      <c r="J37" s="6" t="s">
        <v>2</v>
      </c>
    </row>
    <row r="38" spans="1:10" x14ac:dyDescent="0.35">
      <c r="A38">
        <v>24</v>
      </c>
      <c r="B38" t="s">
        <v>247</v>
      </c>
      <c r="C38" t="s">
        <v>999</v>
      </c>
      <c r="D38" t="s">
        <v>511</v>
      </c>
      <c r="E38" t="s">
        <v>700</v>
      </c>
      <c r="F38" t="s">
        <v>701</v>
      </c>
      <c r="G38" t="s">
        <v>380</v>
      </c>
      <c r="H38" s="3">
        <v>40587</v>
      </c>
      <c r="I38" s="5">
        <v>431701890</v>
      </c>
      <c r="J38" s="6" t="s">
        <v>2</v>
      </c>
    </row>
    <row r="39" spans="1:10" x14ac:dyDescent="0.35">
      <c r="A39">
        <v>25</v>
      </c>
      <c r="B39" t="s">
        <v>248</v>
      </c>
      <c r="C39" t="s">
        <v>1000</v>
      </c>
      <c r="D39" t="s">
        <v>456</v>
      </c>
      <c r="E39" t="s">
        <v>702</v>
      </c>
      <c r="F39" t="s">
        <v>419</v>
      </c>
      <c r="G39" t="s">
        <v>380</v>
      </c>
      <c r="H39" s="3">
        <v>40357</v>
      </c>
      <c r="I39" s="5">
        <v>431626130</v>
      </c>
      <c r="J39" s="6" t="s">
        <v>2</v>
      </c>
    </row>
    <row r="40" spans="1:10" x14ac:dyDescent="0.35">
      <c r="A40">
        <v>26</v>
      </c>
      <c r="B40" t="s">
        <v>249</v>
      </c>
      <c r="C40" t="s">
        <v>847</v>
      </c>
      <c r="D40" t="s">
        <v>456</v>
      </c>
      <c r="E40" t="s">
        <v>691</v>
      </c>
      <c r="F40" t="s">
        <v>383</v>
      </c>
      <c r="G40" t="s">
        <v>381</v>
      </c>
      <c r="H40" s="3">
        <v>40116</v>
      </c>
      <c r="I40" s="5">
        <v>431226814</v>
      </c>
      <c r="J40" s="6" t="s">
        <v>2</v>
      </c>
    </row>
    <row r="41" spans="1:10" x14ac:dyDescent="0.35">
      <c r="A41">
        <v>27</v>
      </c>
      <c r="B41" t="s">
        <v>250</v>
      </c>
      <c r="C41" t="s">
        <v>1001</v>
      </c>
      <c r="D41" t="s">
        <v>456</v>
      </c>
      <c r="E41" t="s">
        <v>703</v>
      </c>
      <c r="F41" t="s">
        <v>653</v>
      </c>
      <c r="G41" t="s">
        <v>381</v>
      </c>
      <c r="H41" s="3">
        <v>40091</v>
      </c>
      <c r="I41" s="5">
        <v>431974156</v>
      </c>
      <c r="J41" s="6" t="s">
        <v>2</v>
      </c>
    </row>
    <row r="42" spans="1:10" x14ac:dyDescent="0.35">
      <c r="A42">
        <v>28</v>
      </c>
      <c r="B42" t="s">
        <v>251</v>
      </c>
      <c r="C42" t="s">
        <v>1002</v>
      </c>
      <c r="D42" t="s">
        <v>456</v>
      </c>
      <c r="E42" t="s">
        <v>574</v>
      </c>
      <c r="F42" t="s">
        <v>377</v>
      </c>
      <c r="G42" t="s">
        <v>381</v>
      </c>
      <c r="H42" s="3">
        <v>40818</v>
      </c>
      <c r="I42" s="5">
        <v>431833683</v>
      </c>
      <c r="J42" s="6" t="s">
        <v>2</v>
      </c>
    </row>
    <row r="43" spans="1:10" x14ac:dyDescent="0.35">
      <c r="A43">
        <v>29</v>
      </c>
      <c r="B43" t="s">
        <v>252</v>
      </c>
      <c r="C43" t="s">
        <v>1003</v>
      </c>
      <c r="D43" t="s">
        <v>704</v>
      </c>
      <c r="E43" t="s">
        <v>705</v>
      </c>
      <c r="F43" t="s">
        <v>706</v>
      </c>
      <c r="G43" t="s">
        <v>380</v>
      </c>
      <c r="H43" s="3">
        <v>41170</v>
      </c>
      <c r="I43" s="5">
        <v>431612506</v>
      </c>
      <c r="J43" s="6" t="s">
        <v>2</v>
      </c>
    </row>
    <row r="44" spans="1:10" x14ac:dyDescent="0.35">
      <c r="A44">
        <v>30</v>
      </c>
      <c r="B44" t="s">
        <v>253</v>
      </c>
      <c r="C44" t="s">
        <v>1004</v>
      </c>
      <c r="D44" t="s">
        <v>461</v>
      </c>
      <c r="E44" t="s">
        <v>537</v>
      </c>
      <c r="F44" t="s">
        <v>456</v>
      </c>
      <c r="G44" t="s">
        <v>380</v>
      </c>
      <c r="H44" s="3">
        <v>39995</v>
      </c>
      <c r="I44" s="5">
        <v>431536307</v>
      </c>
      <c r="J44" s="6" t="s">
        <v>2</v>
      </c>
    </row>
    <row r="45" spans="1:10" x14ac:dyDescent="0.35">
      <c r="A45">
        <v>31</v>
      </c>
      <c r="B45" t="s">
        <v>254</v>
      </c>
      <c r="C45" t="s">
        <v>1005</v>
      </c>
      <c r="D45" t="s">
        <v>376</v>
      </c>
      <c r="E45" t="s">
        <v>691</v>
      </c>
      <c r="F45" t="s">
        <v>394</v>
      </c>
      <c r="G45" t="s">
        <v>381</v>
      </c>
      <c r="H45" s="3">
        <v>41020</v>
      </c>
      <c r="I45" s="5">
        <v>431983390</v>
      </c>
      <c r="J45" s="6" t="s">
        <v>2</v>
      </c>
    </row>
    <row r="46" spans="1:10" x14ac:dyDescent="0.35">
      <c r="A46">
        <v>32</v>
      </c>
      <c r="B46" t="s">
        <v>255</v>
      </c>
      <c r="C46" t="s">
        <v>1006</v>
      </c>
      <c r="D46" t="s">
        <v>376</v>
      </c>
      <c r="E46" t="s">
        <v>707</v>
      </c>
      <c r="F46" t="s">
        <v>708</v>
      </c>
      <c r="G46" t="s">
        <v>380</v>
      </c>
      <c r="H46" s="3">
        <v>40927</v>
      </c>
      <c r="I46" s="5">
        <v>431417906</v>
      </c>
      <c r="J46" s="6" t="s">
        <v>2</v>
      </c>
    </row>
    <row r="47" spans="1:10" x14ac:dyDescent="0.35">
      <c r="A47">
        <v>33</v>
      </c>
      <c r="B47" t="s">
        <v>256</v>
      </c>
      <c r="C47" t="s">
        <v>1007</v>
      </c>
      <c r="D47" t="s">
        <v>376</v>
      </c>
      <c r="E47" t="s">
        <v>709</v>
      </c>
      <c r="F47" t="s">
        <v>710</v>
      </c>
      <c r="G47" t="s">
        <v>380</v>
      </c>
      <c r="H47" s="3">
        <v>41275</v>
      </c>
      <c r="I47" s="5">
        <v>439875241</v>
      </c>
      <c r="J47" s="6" t="s">
        <v>2</v>
      </c>
    </row>
    <row r="48" spans="1:10" x14ac:dyDescent="0.35">
      <c r="A48">
        <v>34</v>
      </c>
      <c r="B48" t="s">
        <v>257</v>
      </c>
      <c r="C48" t="s">
        <v>1008</v>
      </c>
      <c r="D48" t="s">
        <v>376</v>
      </c>
      <c r="E48" t="s">
        <v>711</v>
      </c>
      <c r="F48" t="s">
        <v>656</v>
      </c>
      <c r="G48" t="s">
        <v>381</v>
      </c>
      <c r="H48" s="3">
        <v>41632</v>
      </c>
      <c r="I48" s="5">
        <v>432138858</v>
      </c>
      <c r="J48" s="6" t="s">
        <v>2</v>
      </c>
    </row>
    <row r="49" spans="1:10" x14ac:dyDescent="0.35">
      <c r="A49">
        <v>35</v>
      </c>
      <c r="B49" t="s">
        <v>258</v>
      </c>
      <c r="C49" t="s">
        <v>1009</v>
      </c>
      <c r="D49" t="s">
        <v>376</v>
      </c>
      <c r="E49" t="s">
        <v>588</v>
      </c>
      <c r="F49" t="s">
        <v>456</v>
      </c>
      <c r="G49" t="s">
        <v>380</v>
      </c>
      <c r="H49" s="3">
        <v>39919</v>
      </c>
      <c r="I49" s="5">
        <v>432138636</v>
      </c>
      <c r="J49" s="6" t="s">
        <v>2</v>
      </c>
    </row>
    <row r="50" spans="1:10" x14ac:dyDescent="0.35">
      <c r="A50">
        <v>36</v>
      </c>
      <c r="B50" t="s">
        <v>259</v>
      </c>
      <c r="C50" t="s">
        <v>1010</v>
      </c>
      <c r="D50" t="s">
        <v>376</v>
      </c>
      <c r="E50" t="s">
        <v>712</v>
      </c>
      <c r="F50" t="s">
        <v>713</v>
      </c>
      <c r="G50" t="s">
        <v>380</v>
      </c>
      <c r="H50" s="3">
        <v>40994</v>
      </c>
      <c r="I50" s="5">
        <v>431940724</v>
      </c>
      <c r="J50" s="6" t="s">
        <v>2</v>
      </c>
    </row>
    <row r="51" spans="1:10" x14ac:dyDescent="0.35">
      <c r="A51">
        <v>37</v>
      </c>
      <c r="B51" t="s">
        <v>260</v>
      </c>
      <c r="C51" t="s">
        <v>1011</v>
      </c>
      <c r="D51" t="s">
        <v>376</v>
      </c>
      <c r="E51" t="s">
        <v>714</v>
      </c>
      <c r="F51" t="s">
        <v>715</v>
      </c>
      <c r="G51" t="s">
        <v>381</v>
      </c>
      <c r="H51" s="3">
        <v>40934</v>
      </c>
      <c r="I51" s="5">
        <v>431972039</v>
      </c>
      <c r="J51" s="6" t="s">
        <v>2</v>
      </c>
    </row>
    <row r="52" spans="1:10" x14ac:dyDescent="0.35">
      <c r="A52">
        <v>38</v>
      </c>
      <c r="B52" t="s">
        <v>261</v>
      </c>
      <c r="C52" t="s">
        <v>1012</v>
      </c>
      <c r="D52" t="s">
        <v>382</v>
      </c>
      <c r="E52" t="s">
        <v>716</v>
      </c>
      <c r="F52" t="s">
        <v>427</v>
      </c>
      <c r="G52" t="s">
        <v>380</v>
      </c>
      <c r="H52" s="3">
        <v>40797</v>
      </c>
      <c r="I52" s="5">
        <v>431374912</v>
      </c>
      <c r="J52" s="6" t="s">
        <v>2</v>
      </c>
    </row>
    <row r="53" spans="1:10" x14ac:dyDescent="0.35">
      <c r="A53">
        <v>39</v>
      </c>
      <c r="B53" t="s">
        <v>262</v>
      </c>
      <c r="C53" t="s">
        <v>1013</v>
      </c>
      <c r="D53" t="s">
        <v>382</v>
      </c>
      <c r="E53" t="s">
        <v>717</v>
      </c>
      <c r="F53" t="s">
        <v>376</v>
      </c>
      <c r="G53" t="s">
        <v>380</v>
      </c>
      <c r="H53" s="3">
        <v>40716</v>
      </c>
      <c r="I53" s="5">
        <v>41416242</v>
      </c>
      <c r="J53" s="6" t="s">
        <v>2</v>
      </c>
    </row>
    <row r="54" spans="1:10" x14ac:dyDescent="0.35">
      <c r="A54">
        <v>40</v>
      </c>
      <c r="B54" t="s">
        <v>263</v>
      </c>
      <c r="C54" t="s">
        <v>1014</v>
      </c>
      <c r="D54" t="s">
        <v>382</v>
      </c>
      <c r="E54" t="s">
        <v>509</v>
      </c>
      <c r="F54" t="s">
        <v>484</v>
      </c>
      <c r="G54" t="s">
        <v>380</v>
      </c>
      <c r="H54" s="3">
        <v>40876</v>
      </c>
      <c r="I54" s="5">
        <v>439875237</v>
      </c>
      <c r="J54" s="6" t="s">
        <v>2</v>
      </c>
    </row>
    <row r="55" spans="1:10" x14ac:dyDescent="0.35">
      <c r="A55">
        <v>41</v>
      </c>
      <c r="B55" t="s">
        <v>264</v>
      </c>
      <c r="C55" t="s">
        <v>1015</v>
      </c>
      <c r="D55" t="s">
        <v>382</v>
      </c>
      <c r="E55" t="s">
        <v>718</v>
      </c>
      <c r="F55" t="s">
        <v>376</v>
      </c>
      <c r="G55" t="s">
        <v>380</v>
      </c>
      <c r="H55" s="3">
        <v>40854</v>
      </c>
      <c r="I55" s="5">
        <v>601411480</v>
      </c>
      <c r="J55" s="6" t="s">
        <v>2</v>
      </c>
    </row>
    <row r="56" spans="1:10" x14ac:dyDescent="0.35">
      <c r="A56">
        <v>42</v>
      </c>
      <c r="B56" t="s">
        <v>265</v>
      </c>
      <c r="C56" t="s">
        <v>1016</v>
      </c>
      <c r="D56" t="s">
        <v>382</v>
      </c>
      <c r="E56" t="s">
        <v>719</v>
      </c>
      <c r="F56" t="s">
        <v>427</v>
      </c>
      <c r="G56" t="s">
        <v>380</v>
      </c>
      <c r="H56" s="3">
        <v>40598</v>
      </c>
      <c r="I56" s="5">
        <v>432207904</v>
      </c>
      <c r="J56" s="6" t="s">
        <v>2</v>
      </c>
    </row>
    <row r="57" spans="1:10" x14ac:dyDescent="0.35">
      <c r="A57">
        <v>43</v>
      </c>
      <c r="B57" t="s">
        <v>266</v>
      </c>
      <c r="C57" t="s">
        <v>1017</v>
      </c>
      <c r="D57" t="s">
        <v>484</v>
      </c>
      <c r="E57" t="s">
        <v>720</v>
      </c>
      <c r="F57" t="s">
        <v>383</v>
      </c>
      <c r="G57" t="s">
        <v>381</v>
      </c>
      <c r="H57" s="3">
        <v>41097</v>
      </c>
      <c r="I57" s="5">
        <v>431346639</v>
      </c>
      <c r="J57" s="6" t="s">
        <v>2</v>
      </c>
    </row>
    <row r="58" spans="1:10" x14ac:dyDescent="0.35">
      <c r="A58">
        <v>44</v>
      </c>
      <c r="B58" t="s">
        <v>267</v>
      </c>
      <c r="C58" t="s">
        <v>1018</v>
      </c>
      <c r="D58" t="s">
        <v>484</v>
      </c>
      <c r="E58" t="s">
        <v>721</v>
      </c>
      <c r="F58" t="s">
        <v>656</v>
      </c>
      <c r="G58" t="s">
        <v>381</v>
      </c>
      <c r="H58" s="3">
        <v>40913</v>
      </c>
      <c r="I58" s="5">
        <v>431625361</v>
      </c>
      <c r="J58" s="6" t="s">
        <v>2</v>
      </c>
    </row>
    <row r="59" spans="1:10" x14ac:dyDescent="0.35">
      <c r="A59">
        <v>45</v>
      </c>
      <c r="B59" t="s">
        <v>268</v>
      </c>
      <c r="C59" t="s">
        <v>1019</v>
      </c>
      <c r="D59" t="s">
        <v>484</v>
      </c>
      <c r="E59" t="s">
        <v>722</v>
      </c>
      <c r="F59" t="s">
        <v>723</v>
      </c>
      <c r="G59" t="s">
        <v>381</v>
      </c>
      <c r="H59" s="3">
        <v>41198</v>
      </c>
      <c r="I59" s="5">
        <v>432402850</v>
      </c>
      <c r="J59" s="6" t="s">
        <v>2</v>
      </c>
    </row>
    <row r="60" spans="1:10" x14ac:dyDescent="0.35">
      <c r="A60">
        <v>46</v>
      </c>
      <c r="B60" t="s">
        <v>269</v>
      </c>
      <c r="C60" t="s">
        <v>1020</v>
      </c>
      <c r="D60" t="s">
        <v>484</v>
      </c>
      <c r="E60" t="s">
        <v>724</v>
      </c>
      <c r="F60" t="s">
        <v>377</v>
      </c>
      <c r="G60" t="s">
        <v>381</v>
      </c>
      <c r="H60" s="3">
        <v>41607</v>
      </c>
      <c r="I60" s="5">
        <v>439875243</v>
      </c>
      <c r="J60" s="6" t="s">
        <v>2</v>
      </c>
    </row>
    <row r="61" spans="1:10" x14ac:dyDescent="0.35">
      <c r="A61">
        <v>47</v>
      </c>
      <c r="B61" t="s">
        <v>270</v>
      </c>
      <c r="C61" t="s">
        <v>1021</v>
      </c>
      <c r="D61" t="s">
        <v>519</v>
      </c>
      <c r="E61" t="s">
        <v>725</v>
      </c>
      <c r="F61" t="s">
        <v>726</v>
      </c>
      <c r="G61" t="s">
        <v>381</v>
      </c>
      <c r="H61" s="3">
        <v>41293</v>
      </c>
      <c r="I61" s="5">
        <v>431320207</v>
      </c>
      <c r="J61" s="6" t="s">
        <v>2</v>
      </c>
    </row>
    <row r="62" spans="1:10" x14ac:dyDescent="0.35">
      <c r="A62">
        <v>48</v>
      </c>
    </row>
    <row r="63" spans="1:10" x14ac:dyDescent="0.35">
      <c r="A63">
        <v>49</v>
      </c>
    </row>
    <row r="64" spans="1:10" x14ac:dyDescent="0.35">
      <c r="A64">
        <v>50</v>
      </c>
    </row>
    <row r="65" spans="1:1" x14ac:dyDescent="0.35">
      <c r="A65">
        <v>51</v>
      </c>
    </row>
    <row r="66" spans="1:1" x14ac:dyDescent="0.35">
      <c r="A66">
        <v>52</v>
      </c>
    </row>
    <row r="67" spans="1:1" x14ac:dyDescent="0.35">
      <c r="A67">
        <v>53</v>
      </c>
    </row>
    <row r="68" spans="1:1" x14ac:dyDescent="0.35">
      <c r="A68">
        <v>54</v>
      </c>
    </row>
    <row r="69" spans="1:1" x14ac:dyDescent="0.35">
      <c r="A69">
        <v>55</v>
      </c>
    </row>
    <row r="70" spans="1:1" x14ac:dyDescent="0.35">
      <c r="A70">
        <v>56</v>
      </c>
    </row>
    <row r="71" spans="1:1" x14ac:dyDescent="0.35">
      <c r="A71">
        <v>57</v>
      </c>
    </row>
    <row r="72" spans="1:1" x14ac:dyDescent="0.35">
      <c r="A72">
        <v>58</v>
      </c>
    </row>
    <row r="73" spans="1:1" x14ac:dyDescent="0.35">
      <c r="A73">
        <v>59</v>
      </c>
    </row>
    <row r="74" spans="1:1" x14ac:dyDescent="0.35">
      <c r="A74">
        <v>60</v>
      </c>
    </row>
  </sheetData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E379-C8E4-42FD-B1BA-0B811D099AB0}">
  <dimension ref="A1:J56"/>
  <sheetViews>
    <sheetView topLeftCell="A11" workbookViewId="0">
      <selection activeCell="F51" sqref="F51"/>
    </sheetView>
  </sheetViews>
  <sheetFormatPr defaultRowHeight="14.5" x14ac:dyDescent="0.35"/>
  <cols>
    <col min="1" max="1" width="5.08984375" bestFit="1" customWidth="1"/>
    <col min="2" max="2" width="8.1796875" bestFit="1" customWidth="1"/>
    <col min="3" max="3" width="12.453125" bestFit="1" customWidth="1"/>
    <col min="4" max="4" width="11.81640625" bestFit="1" customWidth="1"/>
    <col min="5" max="5" width="13.26953125" bestFit="1" customWidth="1"/>
    <col min="6" max="6" width="21.72656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bestFit="1" customWidth="1"/>
  </cols>
  <sheetData>
    <row r="1" spans="1:10" ht="14.5" customHeight="1" x14ac:dyDescent="0.35">
      <c r="A1" s="38" t="s">
        <v>929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customHeight="1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4.5" customHeigh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 ht="14.5" customHeight="1" x14ac:dyDescent="0.35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0" ht="14.5" customHeight="1" x14ac:dyDescent="0.35">
      <c r="A5" s="38"/>
      <c r="B5" s="38"/>
      <c r="C5" s="38"/>
      <c r="D5" s="38"/>
      <c r="E5" s="38"/>
      <c r="F5" s="38"/>
      <c r="G5" s="38"/>
      <c r="H5" s="38"/>
      <c r="I5" s="38"/>
      <c r="J5" s="38"/>
    </row>
    <row r="6" spans="1:10" ht="14.5" customHeight="1" x14ac:dyDescent="0.35">
      <c r="A6" s="38"/>
      <c r="B6" s="38"/>
      <c r="C6" s="38"/>
      <c r="D6" s="38"/>
      <c r="E6" s="38"/>
      <c r="F6" s="38"/>
      <c r="G6" s="38"/>
      <c r="H6" s="38"/>
      <c r="I6" s="38"/>
      <c r="J6" s="38"/>
    </row>
    <row r="7" spans="1:10" ht="14.5" customHeight="1" x14ac:dyDescent="0.35">
      <c r="A7" s="38"/>
      <c r="B7" s="38"/>
      <c r="C7" s="38"/>
      <c r="D7" s="38"/>
      <c r="E7" s="38"/>
      <c r="F7" s="38"/>
      <c r="G7" s="38"/>
      <c r="H7" s="38"/>
      <c r="I7" s="38"/>
      <c r="J7" s="38"/>
    </row>
    <row r="8" spans="1:10" ht="14.5" customHeight="1" x14ac:dyDescent="0.35">
      <c r="A8" s="38"/>
      <c r="B8" s="38"/>
      <c r="C8" s="38"/>
      <c r="D8" s="38"/>
      <c r="E8" s="38"/>
      <c r="F8" s="38"/>
      <c r="G8" s="38"/>
      <c r="H8" s="38"/>
      <c r="I8" s="38"/>
      <c r="J8" s="38"/>
    </row>
    <row r="9" spans="1:10" ht="14.5" customHeight="1" x14ac:dyDescent="0.35">
      <c r="A9" s="38"/>
      <c r="B9" s="38"/>
      <c r="C9" s="38"/>
      <c r="D9" s="38"/>
      <c r="E9" s="38"/>
      <c r="F9" s="38"/>
      <c r="G9" s="38"/>
      <c r="H9" s="38"/>
      <c r="I9" s="38"/>
      <c r="J9" s="38"/>
    </row>
    <row r="10" spans="1:10" ht="14.5" customHeight="1" x14ac:dyDescent="0.35">
      <c r="A10" s="38"/>
      <c r="B10" s="38"/>
      <c r="C10" s="38"/>
      <c r="D10" s="38"/>
      <c r="E10" s="38"/>
      <c r="F10" s="38"/>
      <c r="G10" s="38"/>
      <c r="H10" s="38"/>
      <c r="I10" s="38"/>
      <c r="J10" s="38"/>
    </row>
    <row r="11" spans="1:10" ht="14.5" customHeight="1" x14ac:dyDescent="0.35">
      <c r="A11" s="38"/>
      <c r="B11" s="38"/>
      <c r="C11" s="38"/>
      <c r="D11" s="38"/>
      <c r="E11" s="38"/>
      <c r="F11" s="38"/>
      <c r="G11" s="38"/>
      <c r="H11" s="38"/>
      <c r="I11" s="38"/>
      <c r="J11" s="38"/>
    </row>
    <row r="12" spans="1:10" ht="14.5" customHeight="1" x14ac:dyDescent="0.35">
      <c r="A12" s="38"/>
      <c r="B12" s="38"/>
      <c r="C12" s="38"/>
      <c r="D12" s="38"/>
      <c r="E12" s="38"/>
      <c r="F12" s="38"/>
      <c r="G12" s="38"/>
      <c r="H12" s="38"/>
      <c r="I12" s="38"/>
      <c r="J12" s="38"/>
    </row>
    <row r="13" spans="1:10" ht="14.5" customHeight="1" x14ac:dyDescent="0.35">
      <c r="A13" s="38"/>
      <c r="B13" s="38"/>
      <c r="C13" s="38"/>
      <c r="D13" s="38"/>
      <c r="E13" s="38"/>
      <c r="F13" s="38"/>
      <c r="G13" s="38"/>
      <c r="H13" s="38"/>
      <c r="I13" s="38"/>
      <c r="J13" s="38"/>
    </row>
    <row r="14" spans="1:10" s="5" customFormat="1" x14ac:dyDescent="0.35">
      <c r="A14" s="10" t="s">
        <v>930</v>
      </c>
      <c r="B14" s="2" t="s">
        <v>378</v>
      </c>
      <c r="C14" s="2" t="s">
        <v>493</v>
      </c>
      <c r="D14" s="2" t="s">
        <v>385</v>
      </c>
      <c r="E14" s="2" t="s">
        <v>384</v>
      </c>
      <c r="F14" s="2" t="s">
        <v>931</v>
      </c>
      <c r="G14" s="2" t="s">
        <v>0</v>
      </c>
      <c r="H14" s="2" t="s">
        <v>1</v>
      </c>
      <c r="I14" s="2" t="s">
        <v>932</v>
      </c>
      <c r="J14" s="9" t="s">
        <v>933</v>
      </c>
    </row>
    <row r="15" spans="1:10" ht="23" customHeight="1" x14ac:dyDescent="0.5">
      <c r="A15" cm="1">
        <f t="array" ref="A15:A56">_xlfn.SEQUENCE(42)</f>
        <v>1</v>
      </c>
      <c r="B15" t="s">
        <v>332</v>
      </c>
      <c r="C15" t="s">
        <v>727</v>
      </c>
      <c r="D15" s="7" t="s">
        <v>769</v>
      </c>
      <c r="E15" s="8" t="s">
        <v>620</v>
      </c>
      <c r="F15" s="7" t="s">
        <v>379</v>
      </c>
      <c r="G15" t="s">
        <v>380</v>
      </c>
      <c r="H15" s="3">
        <v>39799</v>
      </c>
      <c r="I15" s="5">
        <v>431931309</v>
      </c>
      <c r="J15" s="6" t="s">
        <v>2</v>
      </c>
    </row>
    <row r="16" spans="1:10" ht="17" x14ac:dyDescent="0.5">
      <c r="A16">
        <v>2</v>
      </c>
      <c r="B16" t="s">
        <v>333</v>
      </c>
      <c r="C16" t="s">
        <v>728</v>
      </c>
      <c r="D16" s="7" t="s">
        <v>525</v>
      </c>
      <c r="E16" s="8" t="s">
        <v>770</v>
      </c>
      <c r="F16" s="7" t="s">
        <v>401</v>
      </c>
      <c r="G16" t="s">
        <v>381</v>
      </c>
      <c r="H16" s="3">
        <v>40508</v>
      </c>
      <c r="I16" s="5">
        <v>601803567</v>
      </c>
      <c r="J16" s="6" t="s">
        <v>2</v>
      </c>
    </row>
    <row r="17" spans="1:10" ht="17" x14ac:dyDescent="0.5">
      <c r="A17">
        <v>3</v>
      </c>
      <c r="B17" t="s">
        <v>334</v>
      </c>
      <c r="C17" t="s">
        <v>729</v>
      </c>
      <c r="D17" s="7" t="s">
        <v>494</v>
      </c>
      <c r="E17" s="8" t="s">
        <v>771</v>
      </c>
      <c r="F17" s="7" t="s">
        <v>401</v>
      </c>
      <c r="G17" t="s">
        <v>381</v>
      </c>
      <c r="H17" s="3">
        <v>40363</v>
      </c>
      <c r="I17" s="5">
        <v>1231007024</v>
      </c>
      <c r="J17" s="6" t="s">
        <v>2</v>
      </c>
    </row>
    <row r="18" spans="1:10" ht="17" x14ac:dyDescent="0.5">
      <c r="A18">
        <v>4</v>
      </c>
      <c r="B18" t="s">
        <v>335</v>
      </c>
      <c r="C18" t="s">
        <v>730</v>
      </c>
      <c r="D18" s="7" t="s">
        <v>394</v>
      </c>
      <c r="E18" s="8" t="s">
        <v>772</v>
      </c>
      <c r="F18" s="7" t="s">
        <v>773</v>
      </c>
      <c r="G18" t="s">
        <v>380</v>
      </c>
      <c r="H18" s="3">
        <v>40616</v>
      </c>
      <c r="I18" s="5">
        <v>431975575</v>
      </c>
      <c r="J18" s="6" t="s">
        <v>2</v>
      </c>
    </row>
    <row r="19" spans="1:10" ht="17" x14ac:dyDescent="0.5">
      <c r="A19">
        <v>5</v>
      </c>
      <c r="B19" t="s">
        <v>336</v>
      </c>
      <c r="C19" t="s">
        <v>731</v>
      </c>
      <c r="D19" s="7" t="s">
        <v>677</v>
      </c>
      <c r="E19" s="8" t="s">
        <v>774</v>
      </c>
      <c r="F19" s="7" t="s">
        <v>464</v>
      </c>
      <c r="G19" t="s">
        <v>381</v>
      </c>
      <c r="H19" s="3">
        <v>40557</v>
      </c>
      <c r="I19" s="5">
        <v>431118003</v>
      </c>
      <c r="J19" s="6" t="s">
        <v>2</v>
      </c>
    </row>
    <row r="20" spans="1:10" ht="17" x14ac:dyDescent="0.5">
      <c r="A20">
        <v>6</v>
      </c>
      <c r="B20" t="s">
        <v>337</v>
      </c>
      <c r="C20" t="s">
        <v>732</v>
      </c>
      <c r="D20" s="7" t="s">
        <v>775</v>
      </c>
      <c r="E20" s="8" t="s">
        <v>776</v>
      </c>
      <c r="F20" s="7" t="s">
        <v>414</v>
      </c>
      <c r="G20" t="s">
        <v>380</v>
      </c>
      <c r="H20" s="3">
        <v>39995</v>
      </c>
      <c r="I20" s="5">
        <v>431637537</v>
      </c>
      <c r="J20" s="6" t="s">
        <v>2</v>
      </c>
    </row>
    <row r="21" spans="1:10" ht="17" x14ac:dyDescent="0.5">
      <c r="A21">
        <v>7</v>
      </c>
      <c r="B21" t="s">
        <v>338</v>
      </c>
      <c r="C21" t="s">
        <v>733</v>
      </c>
      <c r="D21" s="7" t="s">
        <v>777</v>
      </c>
      <c r="E21" s="8" t="s">
        <v>778</v>
      </c>
      <c r="F21" s="7" t="s">
        <v>779</v>
      </c>
      <c r="G21" t="s">
        <v>381</v>
      </c>
      <c r="H21" s="3">
        <v>39547</v>
      </c>
      <c r="I21" s="5">
        <v>431710668</v>
      </c>
      <c r="J21" s="6" t="s">
        <v>2</v>
      </c>
    </row>
    <row r="22" spans="1:10" ht="17" x14ac:dyDescent="0.5">
      <c r="A22">
        <v>8</v>
      </c>
      <c r="B22" t="s">
        <v>339</v>
      </c>
      <c r="C22" t="s">
        <v>734</v>
      </c>
      <c r="D22" s="7" t="s">
        <v>419</v>
      </c>
      <c r="E22" s="8" t="s">
        <v>780</v>
      </c>
      <c r="F22" s="7" t="s">
        <v>421</v>
      </c>
      <c r="G22" t="s">
        <v>380</v>
      </c>
      <c r="H22" s="3">
        <v>40179</v>
      </c>
      <c r="I22" s="5">
        <v>601103341</v>
      </c>
      <c r="J22" s="6" t="s">
        <v>2</v>
      </c>
    </row>
    <row r="23" spans="1:10" ht="17" x14ac:dyDescent="0.5">
      <c r="A23">
        <v>9</v>
      </c>
      <c r="B23" t="s">
        <v>340</v>
      </c>
      <c r="C23" t="s">
        <v>735</v>
      </c>
      <c r="D23" s="7" t="s">
        <v>419</v>
      </c>
      <c r="E23" s="8" t="s">
        <v>546</v>
      </c>
      <c r="F23" s="7" t="s">
        <v>464</v>
      </c>
      <c r="G23" t="s">
        <v>381</v>
      </c>
      <c r="H23" s="3">
        <v>40235</v>
      </c>
      <c r="I23" s="5">
        <v>431417850</v>
      </c>
      <c r="J23" s="6" t="s">
        <v>2</v>
      </c>
    </row>
    <row r="24" spans="1:10" ht="17" x14ac:dyDescent="0.5">
      <c r="A24">
        <v>10</v>
      </c>
      <c r="B24" t="s">
        <v>341</v>
      </c>
      <c r="C24" t="s">
        <v>736</v>
      </c>
      <c r="D24" s="7" t="s">
        <v>427</v>
      </c>
      <c r="E24" s="8" t="s">
        <v>781</v>
      </c>
      <c r="F24" s="7" t="s">
        <v>618</v>
      </c>
      <c r="G24" t="s">
        <v>380</v>
      </c>
      <c r="H24" s="3">
        <v>40188</v>
      </c>
      <c r="I24" s="5">
        <v>261629953</v>
      </c>
      <c r="J24" s="6" t="s">
        <v>2</v>
      </c>
    </row>
    <row r="25" spans="1:10" ht="17" x14ac:dyDescent="0.5">
      <c r="A25">
        <v>11</v>
      </c>
      <c r="B25" t="s">
        <v>342</v>
      </c>
      <c r="C25" t="s">
        <v>737</v>
      </c>
      <c r="D25" s="7" t="s">
        <v>435</v>
      </c>
      <c r="E25" s="8" t="s">
        <v>430</v>
      </c>
      <c r="F25" s="7" t="s">
        <v>414</v>
      </c>
      <c r="G25" t="s">
        <v>380</v>
      </c>
      <c r="H25" s="3">
        <v>40534</v>
      </c>
      <c r="I25" s="5">
        <v>1221904374</v>
      </c>
      <c r="J25" s="6" t="s">
        <v>2</v>
      </c>
    </row>
    <row r="26" spans="1:10" ht="17" x14ac:dyDescent="0.5">
      <c r="A26">
        <v>12</v>
      </c>
      <c r="B26" t="s">
        <v>343</v>
      </c>
      <c r="C26" t="s">
        <v>738</v>
      </c>
      <c r="D26" s="7" t="s">
        <v>508</v>
      </c>
      <c r="E26" s="8" t="s">
        <v>782</v>
      </c>
      <c r="F26" s="7" t="s">
        <v>401</v>
      </c>
      <c r="G26" t="s">
        <v>381</v>
      </c>
      <c r="H26" s="3">
        <v>40560</v>
      </c>
      <c r="I26" s="5">
        <v>431523453</v>
      </c>
      <c r="J26" s="6" t="s">
        <v>2</v>
      </c>
    </row>
    <row r="27" spans="1:10" ht="17" x14ac:dyDescent="0.5">
      <c r="A27">
        <v>13</v>
      </c>
      <c r="B27" t="s">
        <v>344</v>
      </c>
      <c r="C27" t="s">
        <v>739</v>
      </c>
      <c r="D27" s="7" t="s">
        <v>783</v>
      </c>
      <c r="E27" s="8" t="s">
        <v>784</v>
      </c>
      <c r="F27" s="7" t="s">
        <v>401</v>
      </c>
      <c r="G27" t="s">
        <v>381</v>
      </c>
      <c r="H27" s="3">
        <v>40535</v>
      </c>
      <c r="I27" s="5">
        <v>431520505</v>
      </c>
      <c r="J27" s="6" t="s">
        <v>2</v>
      </c>
    </row>
    <row r="28" spans="1:10" ht="17" x14ac:dyDescent="0.5">
      <c r="A28">
        <v>14</v>
      </c>
      <c r="B28" t="s">
        <v>345</v>
      </c>
      <c r="C28" t="s">
        <v>740</v>
      </c>
      <c r="D28" s="7" t="s">
        <v>447</v>
      </c>
      <c r="E28" s="8" t="s">
        <v>785</v>
      </c>
      <c r="F28" s="7" t="s">
        <v>423</v>
      </c>
      <c r="G28" t="s">
        <v>381</v>
      </c>
      <c r="H28" s="3">
        <v>40864</v>
      </c>
      <c r="I28" s="5">
        <v>431983609</v>
      </c>
      <c r="J28" s="6" t="s">
        <v>2</v>
      </c>
    </row>
    <row r="29" spans="1:10" ht="17" x14ac:dyDescent="0.5">
      <c r="A29">
        <v>15</v>
      </c>
      <c r="B29" t="s">
        <v>346</v>
      </c>
      <c r="C29" t="s">
        <v>741</v>
      </c>
      <c r="D29" s="7" t="s">
        <v>511</v>
      </c>
      <c r="E29" s="8" t="s">
        <v>786</v>
      </c>
      <c r="F29" s="7" t="s">
        <v>779</v>
      </c>
      <c r="G29" t="s">
        <v>381</v>
      </c>
      <c r="H29" s="3">
        <v>40648</v>
      </c>
      <c r="I29" s="5">
        <v>432115161</v>
      </c>
      <c r="J29" s="6" t="s">
        <v>2</v>
      </c>
    </row>
    <row r="30" spans="1:10" ht="17" x14ac:dyDescent="0.5">
      <c r="A30">
        <v>16</v>
      </c>
      <c r="B30" t="s">
        <v>347</v>
      </c>
      <c r="C30" t="s">
        <v>742</v>
      </c>
      <c r="D30" s="7" t="s">
        <v>456</v>
      </c>
      <c r="E30" s="8" t="s">
        <v>787</v>
      </c>
      <c r="F30" s="7" t="s">
        <v>476</v>
      </c>
      <c r="G30" t="s">
        <v>380</v>
      </c>
      <c r="H30" s="3">
        <v>40677</v>
      </c>
      <c r="I30" s="5">
        <v>261424916</v>
      </c>
      <c r="J30" s="6" t="s">
        <v>2</v>
      </c>
    </row>
    <row r="31" spans="1:10" ht="17" x14ac:dyDescent="0.5">
      <c r="A31">
        <v>17</v>
      </c>
      <c r="B31" t="s">
        <v>348</v>
      </c>
      <c r="C31" t="s">
        <v>743</v>
      </c>
      <c r="D31" s="7" t="s">
        <v>456</v>
      </c>
      <c r="E31" s="8" t="s">
        <v>788</v>
      </c>
      <c r="F31" s="7" t="s">
        <v>388</v>
      </c>
      <c r="G31" t="s">
        <v>381</v>
      </c>
      <c r="H31" s="3">
        <v>39968</v>
      </c>
      <c r="I31" s="5">
        <v>432334634</v>
      </c>
      <c r="J31" s="6" t="s">
        <v>2</v>
      </c>
    </row>
    <row r="32" spans="1:10" ht="17" x14ac:dyDescent="0.5">
      <c r="A32">
        <v>18</v>
      </c>
      <c r="B32" t="s">
        <v>349</v>
      </c>
      <c r="C32" t="s">
        <v>744</v>
      </c>
      <c r="D32" s="7" t="s">
        <v>789</v>
      </c>
      <c r="E32" s="8" t="s">
        <v>725</v>
      </c>
      <c r="F32" s="7" t="s">
        <v>440</v>
      </c>
      <c r="G32" t="s">
        <v>381</v>
      </c>
      <c r="H32" s="3">
        <v>40741</v>
      </c>
      <c r="I32" s="5">
        <v>431444547</v>
      </c>
      <c r="J32" s="6" t="s">
        <v>2</v>
      </c>
    </row>
    <row r="33" spans="1:10" ht="17" x14ac:dyDescent="0.5">
      <c r="A33">
        <v>19</v>
      </c>
      <c r="B33" t="s">
        <v>350</v>
      </c>
      <c r="C33" t="s">
        <v>745</v>
      </c>
      <c r="D33" s="7" t="s">
        <v>704</v>
      </c>
      <c r="E33" s="8" t="s">
        <v>790</v>
      </c>
      <c r="F33" s="7" t="s">
        <v>401</v>
      </c>
      <c r="G33" t="s">
        <v>381</v>
      </c>
      <c r="H33" s="3">
        <v>40637</v>
      </c>
      <c r="I33" s="5">
        <v>431612507</v>
      </c>
      <c r="J33" s="6" t="s">
        <v>2</v>
      </c>
    </row>
    <row r="34" spans="1:10" ht="17" x14ac:dyDescent="0.5">
      <c r="A34">
        <v>20</v>
      </c>
      <c r="B34" t="s">
        <v>351</v>
      </c>
      <c r="C34" t="s">
        <v>746</v>
      </c>
      <c r="D34" s="7" t="s">
        <v>791</v>
      </c>
      <c r="E34" s="8" t="s">
        <v>512</v>
      </c>
      <c r="F34" s="7" t="s">
        <v>446</v>
      </c>
      <c r="G34" t="s">
        <v>381</v>
      </c>
      <c r="H34" s="3">
        <v>40518</v>
      </c>
      <c r="I34" s="5">
        <v>891003050</v>
      </c>
      <c r="J34" s="6" t="s">
        <v>2</v>
      </c>
    </row>
    <row r="35" spans="1:10" ht="17" x14ac:dyDescent="0.5">
      <c r="A35">
        <v>21</v>
      </c>
      <c r="B35" t="s">
        <v>352</v>
      </c>
      <c r="C35" t="s">
        <v>747</v>
      </c>
      <c r="D35" s="7" t="s">
        <v>461</v>
      </c>
      <c r="E35" s="8" t="s">
        <v>792</v>
      </c>
      <c r="F35" s="7" t="s">
        <v>476</v>
      </c>
      <c r="G35" t="s">
        <v>380</v>
      </c>
      <c r="H35" s="3">
        <v>39453</v>
      </c>
      <c r="I35" s="5">
        <v>601401529</v>
      </c>
      <c r="J35" s="6" t="s">
        <v>2</v>
      </c>
    </row>
    <row r="36" spans="1:10" ht="17" x14ac:dyDescent="0.5">
      <c r="A36">
        <v>22</v>
      </c>
      <c r="B36" t="s">
        <v>353</v>
      </c>
      <c r="C36" t="s">
        <v>748</v>
      </c>
      <c r="D36" s="7" t="s">
        <v>461</v>
      </c>
      <c r="E36" s="8" t="s">
        <v>545</v>
      </c>
      <c r="F36" s="7" t="s">
        <v>552</v>
      </c>
      <c r="G36" t="s">
        <v>381</v>
      </c>
      <c r="H36" s="3">
        <v>39814</v>
      </c>
      <c r="I36" s="5" t="s">
        <v>354</v>
      </c>
      <c r="J36" s="6" t="s">
        <v>2</v>
      </c>
    </row>
    <row r="37" spans="1:10" ht="17" x14ac:dyDescent="0.5">
      <c r="A37">
        <v>23</v>
      </c>
      <c r="B37" t="s">
        <v>355</v>
      </c>
      <c r="C37" t="s">
        <v>749</v>
      </c>
      <c r="D37" s="7" t="s">
        <v>461</v>
      </c>
      <c r="E37" s="8" t="s">
        <v>793</v>
      </c>
      <c r="F37" s="7" t="s">
        <v>388</v>
      </c>
      <c r="G37" t="s">
        <v>381</v>
      </c>
      <c r="H37" s="3">
        <v>40179</v>
      </c>
      <c r="I37" s="5">
        <v>439653637</v>
      </c>
      <c r="J37" s="6" t="s">
        <v>2</v>
      </c>
    </row>
    <row r="38" spans="1:10" ht="17" x14ac:dyDescent="0.5">
      <c r="A38">
        <v>24</v>
      </c>
      <c r="B38" t="s">
        <v>356</v>
      </c>
      <c r="C38" t="s">
        <v>750</v>
      </c>
      <c r="D38" s="7" t="s">
        <v>461</v>
      </c>
      <c r="E38" s="8" t="s">
        <v>703</v>
      </c>
      <c r="F38" s="7" t="s">
        <v>423</v>
      </c>
      <c r="G38" t="s">
        <v>381</v>
      </c>
      <c r="H38" s="3">
        <v>40978</v>
      </c>
      <c r="I38" s="5">
        <v>6014053197</v>
      </c>
      <c r="J38" s="6" t="s">
        <v>2</v>
      </c>
    </row>
    <row r="39" spans="1:10" ht="17" x14ac:dyDescent="0.5">
      <c r="A39">
        <v>25</v>
      </c>
      <c r="B39" t="s">
        <v>357</v>
      </c>
      <c r="C39" t="s">
        <v>751</v>
      </c>
      <c r="D39" s="7" t="s">
        <v>461</v>
      </c>
      <c r="E39" s="8" t="s">
        <v>794</v>
      </c>
      <c r="F39" s="7" t="s">
        <v>414</v>
      </c>
      <c r="G39" t="s">
        <v>380</v>
      </c>
      <c r="H39" s="3">
        <v>39695</v>
      </c>
      <c r="I39" s="5">
        <v>431710668</v>
      </c>
      <c r="J39" s="6" t="s">
        <v>2</v>
      </c>
    </row>
    <row r="40" spans="1:10" ht="17" x14ac:dyDescent="0.5">
      <c r="A40">
        <v>26</v>
      </c>
      <c r="B40" t="s">
        <v>358</v>
      </c>
      <c r="C40" t="s">
        <v>752</v>
      </c>
      <c r="D40" s="7" t="s">
        <v>461</v>
      </c>
      <c r="E40" s="8" t="s">
        <v>795</v>
      </c>
      <c r="F40" s="7" t="s">
        <v>379</v>
      </c>
      <c r="G40" t="s">
        <v>380</v>
      </c>
      <c r="H40" s="3">
        <v>41123</v>
      </c>
      <c r="I40" s="5">
        <v>432307011</v>
      </c>
      <c r="J40" s="6" t="s">
        <v>2</v>
      </c>
    </row>
    <row r="41" spans="1:10" ht="17" x14ac:dyDescent="0.5">
      <c r="A41">
        <v>27</v>
      </c>
      <c r="B41" t="s">
        <v>359</v>
      </c>
      <c r="C41" t="s">
        <v>753</v>
      </c>
      <c r="D41" s="7" t="s">
        <v>376</v>
      </c>
      <c r="E41" s="8" t="s">
        <v>796</v>
      </c>
      <c r="F41" s="7" t="s">
        <v>797</v>
      </c>
      <c r="G41" t="s">
        <v>381</v>
      </c>
      <c r="H41" s="3">
        <v>40179</v>
      </c>
      <c r="I41" s="5">
        <v>432139812</v>
      </c>
      <c r="J41" s="6" t="s">
        <v>2</v>
      </c>
    </row>
    <row r="42" spans="1:10" ht="17" x14ac:dyDescent="0.5">
      <c r="A42">
        <v>28</v>
      </c>
      <c r="B42" t="s">
        <v>360</v>
      </c>
      <c r="C42" t="s">
        <v>754</v>
      </c>
      <c r="D42" s="7" t="s">
        <v>376</v>
      </c>
      <c r="E42" s="8" t="s">
        <v>798</v>
      </c>
      <c r="F42" s="7" t="s">
        <v>799</v>
      </c>
      <c r="G42" t="s">
        <v>380</v>
      </c>
      <c r="H42" s="3">
        <v>40450</v>
      </c>
      <c r="I42" s="5">
        <v>432313718</v>
      </c>
      <c r="J42" s="6" t="s">
        <v>2</v>
      </c>
    </row>
    <row r="43" spans="1:10" ht="17" x14ac:dyDescent="0.5">
      <c r="A43">
        <v>29</v>
      </c>
      <c r="B43" t="s">
        <v>361</v>
      </c>
      <c r="C43" t="s">
        <v>755</v>
      </c>
      <c r="D43" s="7" t="s">
        <v>376</v>
      </c>
      <c r="E43" s="8" t="s">
        <v>471</v>
      </c>
      <c r="F43" s="7" t="s">
        <v>388</v>
      </c>
      <c r="G43" t="s">
        <v>381</v>
      </c>
      <c r="H43" s="3">
        <v>40267</v>
      </c>
      <c r="I43" s="5">
        <v>431724126</v>
      </c>
      <c r="J43" s="6" t="s">
        <v>2</v>
      </c>
    </row>
    <row r="44" spans="1:10" ht="17" x14ac:dyDescent="0.5">
      <c r="A44">
        <v>30</v>
      </c>
      <c r="B44" t="s">
        <v>362</v>
      </c>
      <c r="C44" t="s">
        <v>756</v>
      </c>
      <c r="D44" s="7" t="s">
        <v>376</v>
      </c>
      <c r="E44" s="8" t="s">
        <v>602</v>
      </c>
      <c r="F44" s="7" t="s">
        <v>416</v>
      </c>
      <c r="G44" t="s">
        <v>380</v>
      </c>
      <c r="H44" s="3">
        <v>40179</v>
      </c>
      <c r="I44" s="5">
        <v>439653636</v>
      </c>
      <c r="J44" s="6" t="s">
        <v>2</v>
      </c>
    </row>
    <row r="45" spans="1:10" ht="17" x14ac:dyDescent="0.5">
      <c r="A45">
        <v>31</v>
      </c>
      <c r="B45" t="s">
        <v>363</v>
      </c>
      <c r="C45" t="s">
        <v>757</v>
      </c>
      <c r="D45" s="7" t="s">
        <v>376</v>
      </c>
      <c r="E45" s="8" t="s">
        <v>800</v>
      </c>
      <c r="F45" s="7" t="s">
        <v>801</v>
      </c>
      <c r="G45" t="s">
        <v>380</v>
      </c>
      <c r="H45" s="3">
        <v>40674</v>
      </c>
      <c r="I45" s="5">
        <v>431520503</v>
      </c>
      <c r="J45" s="6" t="s">
        <v>2</v>
      </c>
    </row>
    <row r="46" spans="1:10" ht="17" x14ac:dyDescent="0.5">
      <c r="A46">
        <v>32</v>
      </c>
      <c r="B46" t="s">
        <v>364</v>
      </c>
      <c r="C46" t="s">
        <v>758</v>
      </c>
      <c r="D46" s="7" t="s">
        <v>376</v>
      </c>
      <c r="E46" s="8" t="s">
        <v>802</v>
      </c>
      <c r="F46" s="7" t="s">
        <v>440</v>
      </c>
      <c r="G46" t="s">
        <v>381</v>
      </c>
      <c r="H46" s="3">
        <v>40896</v>
      </c>
      <c r="I46" s="5">
        <v>431215564</v>
      </c>
      <c r="J46" s="6" t="s">
        <v>2</v>
      </c>
    </row>
    <row r="47" spans="1:10" ht="17" x14ac:dyDescent="0.5">
      <c r="A47">
        <v>33</v>
      </c>
      <c r="B47" t="s">
        <v>365</v>
      </c>
      <c r="C47" t="s">
        <v>759</v>
      </c>
      <c r="D47" s="7" t="s">
        <v>376</v>
      </c>
      <c r="E47" s="8" t="s">
        <v>803</v>
      </c>
      <c r="F47" s="7" t="s">
        <v>779</v>
      </c>
      <c r="G47" t="s">
        <v>381</v>
      </c>
      <c r="H47" s="3">
        <v>40260</v>
      </c>
      <c r="I47" s="5">
        <v>431118286</v>
      </c>
      <c r="J47" s="6" t="s">
        <v>2</v>
      </c>
    </row>
    <row r="48" spans="1:10" ht="17" x14ac:dyDescent="0.5">
      <c r="A48">
        <v>34</v>
      </c>
      <c r="B48" t="s">
        <v>366</v>
      </c>
      <c r="C48" t="s">
        <v>760</v>
      </c>
      <c r="D48" s="7" t="s">
        <v>376</v>
      </c>
      <c r="E48" s="8" t="s">
        <v>804</v>
      </c>
      <c r="F48" s="7" t="s">
        <v>571</v>
      </c>
      <c r="G48" t="s">
        <v>380</v>
      </c>
      <c r="H48" s="3">
        <v>40459</v>
      </c>
      <c r="I48" s="5">
        <v>432116279</v>
      </c>
      <c r="J48" s="6" t="s">
        <v>2</v>
      </c>
    </row>
    <row r="49" spans="1:10" ht="17" x14ac:dyDescent="0.5">
      <c r="A49">
        <v>35</v>
      </c>
      <c r="B49" t="s">
        <v>367</v>
      </c>
      <c r="C49" t="s">
        <v>761</v>
      </c>
      <c r="D49" s="7" t="s">
        <v>376</v>
      </c>
      <c r="E49" s="8" t="s">
        <v>408</v>
      </c>
      <c r="F49" s="7" t="s">
        <v>464</v>
      </c>
      <c r="G49" t="s">
        <v>381</v>
      </c>
      <c r="H49" s="3">
        <v>40180</v>
      </c>
      <c r="I49" s="5">
        <v>60100204</v>
      </c>
      <c r="J49" s="6" t="s">
        <v>2</v>
      </c>
    </row>
    <row r="50" spans="1:10" ht="17" x14ac:dyDescent="0.5">
      <c r="A50">
        <v>36</v>
      </c>
      <c r="B50" t="s">
        <v>368</v>
      </c>
      <c r="C50" t="s">
        <v>762</v>
      </c>
      <c r="D50" s="7" t="s">
        <v>382</v>
      </c>
      <c r="E50" s="8" t="s">
        <v>630</v>
      </c>
      <c r="F50" s="7" t="s">
        <v>805</v>
      </c>
      <c r="G50" t="s">
        <v>381</v>
      </c>
      <c r="H50" s="3">
        <v>40828</v>
      </c>
      <c r="I50" s="5">
        <v>602212815</v>
      </c>
      <c r="J50" s="6" t="s">
        <v>2</v>
      </c>
    </row>
    <row r="51" spans="1:10" ht="17" x14ac:dyDescent="0.5">
      <c r="A51">
        <v>37</v>
      </c>
      <c r="B51" t="s">
        <v>369</v>
      </c>
      <c r="C51" t="s">
        <v>763</v>
      </c>
      <c r="D51" s="7" t="s">
        <v>382</v>
      </c>
      <c r="E51" s="8" t="s">
        <v>806</v>
      </c>
      <c r="F51" s="7" t="s">
        <v>807</v>
      </c>
      <c r="G51" t="s">
        <v>380</v>
      </c>
      <c r="H51" s="3">
        <v>40571</v>
      </c>
      <c r="I51" s="5">
        <v>431606552</v>
      </c>
      <c r="J51" s="6" t="s">
        <v>2</v>
      </c>
    </row>
    <row r="52" spans="1:10" ht="17" x14ac:dyDescent="0.5">
      <c r="A52">
        <v>38</v>
      </c>
      <c r="B52" t="s">
        <v>370</v>
      </c>
      <c r="C52" t="s">
        <v>764</v>
      </c>
      <c r="D52" s="7" t="s">
        <v>484</v>
      </c>
      <c r="E52" s="8" t="s">
        <v>510</v>
      </c>
      <c r="F52" s="7" t="s">
        <v>423</v>
      </c>
      <c r="G52" t="s">
        <v>381</v>
      </c>
      <c r="H52" s="3">
        <v>39833</v>
      </c>
      <c r="I52" s="5">
        <v>431851142</v>
      </c>
      <c r="J52" s="6" t="s">
        <v>2</v>
      </c>
    </row>
    <row r="53" spans="1:10" ht="17" x14ac:dyDescent="0.5">
      <c r="A53">
        <v>39</v>
      </c>
      <c r="B53" t="s">
        <v>371</v>
      </c>
      <c r="C53" t="s">
        <v>765</v>
      </c>
      <c r="D53" s="7" t="s">
        <v>484</v>
      </c>
      <c r="E53" s="8" t="s">
        <v>808</v>
      </c>
      <c r="F53" s="7" t="s">
        <v>421</v>
      </c>
      <c r="G53" t="s">
        <v>380</v>
      </c>
      <c r="H53" s="3">
        <v>41620</v>
      </c>
      <c r="I53" s="5">
        <v>431520510</v>
      </c>
      <c r="J53" s="6" t="s">
        <v>2</v>
      </c>
    </row>
    <row r="54" spans="1:10" ht="17" x14ac:dyDescent="0.5">
      <c r="A54">
        <v>40</v>
      </c>
      <c r="B54" t="s">
        <v>372</v>
      </c>
      <c r="C54" t="s">
        <v>766</v>
      </c>
      <c r="D54" s="7" t="s">
        <v>484</v>
      </c>
      <c r="E54" s="8" t="s">
        <v>809</v>
      </c>
      <c r="F54" s="7" t="s">
        <v>810</v>
      </c>
      <c r="G54" t="s">
        <v>381</v>
      </c>
      <c r="H54" s="3">
        <v>40179</v>
      </c>
      <c r="I54" s="5">
        <v>601803568</v>
      </c>
      <c r="J54" s="6" t="s">
        <v>2</v>
      </c>
    </row>
    <row r="55" spans="1:10" ht="17" x14ac:dyDescent="0.5">
      <c r="A55">
        <v>41</v>
      </c>
      <c r="B55" t="s">
        <v>373</v>
      </c>
      <c r="C55" t="s">
        <v>767</v>
      </c>
      <c r="D55" s="7" t="s">
        <v>484</v>
      </c>
      <c r="E55" s="8" t="s">
        <v>811</v>
      </c>
      <c r="F55" s="7" t="s">
        <v>401</v>
      </c>
      <c r="G55" t="s">
        <v>381</v>
      </c>
      <c r="H55" s="3">
        <v>41187</v>
      </c>
      <c r="I55" s="5">
        <v>1222302335</v>
      </c>
      <c r="J55" s="6" t="s">
        <v>2</v>
      </c>
    </row>
    <row r="56" spans="1:10" ht="17" x14ac:dyDescent="0.5">
      <c r="A56">
        <v>42</v>
      </c>
      <c r="B56" t="s">
        <v>374</v>
      </c>
      <c r="C56" t="s">
        <v>768</v>
      </c>
      <c r="D56" s="7" t="s">
        <v>484</v>
      </c>
      <c r="E56" s="8" t="s">
        <v>812</v>
      </c>
      <c r="F56" s="7" t="s">
        <v>813</v>
      </c>
      <c r="G56" t="s">
        <v>381</v>
      </c>
      <c r="H56" s="3">
        <v>40734</v>
      </c>
      <c r="I56" s="5">
        <v>621830825</v>
      </c>
      <c r="J56" s="6" t="s">
        <v>2</v>
      </c>
    </row>
  </sheetData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9FFB-9ED4-4B18-BE26-873EF472E9B5}">
  <dimension ref="A1:J74"/>
  <sheetViews>
    <sheetView topLeftCell="A64" workbookViewId="0">
      <selection activeCell="E77" sqref="E77"/>
    </sheetView>
  </sheetViews>
  <sheetFormatPr defaultRowHeight="14.5" x14ac:dyDescent="0.35"/>
  <cols>
    <col min="1" max="1" width="8.7265625" style="5"/>
    <col min="2" max="2" width="8.7265625" style="5" bestFit="1" customWidth="1"/>
    <col min="3" max="3" width="12.453125" style="5" bestFit="1" customWidth="1"/>
    <col min="4" max="4" width="11.08984375" style="5" bestFit="1" customWidth="1"/>
    <col min="5" max="5" width="14.54296875" style="5" bestFit="1" customWidth="1"/>
    <col min="6" max="6" width="14.453125" style="5" bestFit="1" customWidth="1"/>
    <col min="7" max="7" width="6.6328125" style="5" bestFit="1" customWidth="1"/>
    <col min="8" max="8" width="10.08984375" style="5" bestFit="1" customWidth="1"/>
    <col min="9" max="9" width="16.6328125" style="5" customWidth="1"/>
    <col min="10" max="10" width="23.54296875" style="5" customWidth="1"/>
    <col min="11" max="16384" width="8.7265625" style="5"/>
  </cols>
  <sheetData>
    <row r="1" spans="1:10" ht="14.5" customHeight="1" x14ac:dyDescent="0.35">
      <c r="A1" s="39" t="s">
        <v>929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4.5" customHeight="1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14.5" customHeight="1" x14ac:dyDescent="0.35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ht="14.5" customHeight="1" x14ac:dyDescent="0.35">
      <c r="A4" s="39"/>
      <c r="B4" s="39"/>
      <c r="C4" s="39"/>
      <c r="D4" s="39"/>
      <c r="E4" s="39"/>
      <c r="F4" s="39"/>
      <c r="G4" s="39"/>
      <c r="H4" s="39"/>
      <c r="I4" s="39"/>
      <c r="J4" s="39"/>
    </row>
    <row r="5" spans="1:10" ht="14.5" customHeight="1" x14ac:dyDescent="0.35">
      <c r="A5" s="39"/>
      <c r="B5" s="39"/>
      <c r="C5" s="39"/>
      <c r="D5" s="39"/>
      <c r="E5" s="39"/>
      <c r="F5" s="39"/>
      <c r="G5" s="39"/>
      <c r="H5" s="39"/>
      <c r="I5" s="39"/>
      <c r="J5" s="39"/>
    </row>
    <row r="6" spans="1:10" ht="14.5" customHeight="1" x14ac:dyDescent="0.35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0" ht="14.5" customHeigh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</row>
    <row r="8" spans="1:10" ht="14.5" customHeight="1" x14ac:dyDescent="0.35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4.5" customHeight="1" x14ac:dyDescent="0.35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10" ht="14.5" customHeight="1" x14ac:dyDescent="0.35">
      <c r="A10" s="39"/>
      <c r="B10" s="39"/>
      <c r="C10" s="39"/>
      <c r="D10" s="39"/>
      <c r="E10" s="39"/>
      <c r="F10" s="39"/>
      <c r="G10" s="39"/>
      <c r="H10" s="39"/>
      <c r="I10" s="39"/>
      <c r="J10" s="39"/>
    </row>
    <row r="11" spans="1:10" ht="14.5" customHeight="1" x14ac:dyDescent="0.35">
      <c r="A11" s="39"/>
      <c r="B11" s="39"/>
      <c r="C11" s="39"/>
      <c r="D11" s="39"/>
      <c r="E11" s="39"/>
      <c r="F11" s="39"/>
      <c r="G11" s="39"/>
      <c r="H11" s="39"/>
      <c r="I11" s="39"/>
      <c r="J11" s="39"/>
    </row>
    <row r="12" spans="1:10" ht="14.5" customHeight="1" x14ac:dyDescent="0.35">
      <c r="A12" s="39"/>
      <c r="B12" s="39"/>
      <c r="C12" s="39"/>
      <c r="D12" s="39"/>
      <c r="E12" s="39"/>
      <c r="F12" s="39"/>
      <c r="G12" s="39"/>
      <c r="H12" s="39"/>
      <c r="I12" s="39"/>
      <c r="J12" s="39"/>
    </row>
    <row r="13" spans="1:10" ht="14.5" customHeight="1" x14ac:dyDescent="0.35">
      <c r="A13" s="39"/>
      <c r="B13" s="39"/>
      <c r="C13" s="39"/>
      <c r="D13" s="39"/>
      <c r="E13" s="39"/>
      <c r="F13" s="39"/>
      <c r="G13" s="39"/>
      <c r="H13" s="39"/>
      <c r="I13" s="39"/>
      <c r="J13" s="39"/>
    </row>
    <row r="14" spans="1:10" x14ac:dyDescent="0.35">
      <c r="A14" s="10" t="s">
        <v>930</v>
      </c>
      <c r="B14" s="2" t="s">
        <v>378</v>
      </c>
      <c r="C14" s="2" t="s">
        <v>493</v>
      </c>
      <c r="D14" s="2" t="s">
        <v>385</v>
      </c>
      <c r="E14" s="2" t="s">
        <v>384</v>
      </c>
      <c r="F14" s="2" t="s">
        <v>931</v>
      </c>
      <c r="G14" s="2" t="s">
        <v>0</v>
      </c>
      <c r="H14" s="2" t="s">
        <v>1</v>
      </c>
      <c r="I14" s="2" t="s">
        <v>932</v>
      </c>
      <c r="J14" s="9" t="s">
        <v>933</v>
      </c>
    </row>
    <row r="15" spans="1:10" ht="17" x14ac:dyDescent="0.5">
      <c r="A15" s="5" cm="1">
        <f t="array" ref="A15:A74">_xlfn.SEQUENCE(60)</f>
        <v>1</v>
      </c>
      <c r="B15" s="5" t="s">
        <v>271</v>
      </c>
      <c r="C15" s="5" t="s">
        <v>814</v>
      </c>
      <c r="D15" s="11" t="s">
        <v>874</v>
      </c>
      <c r="E15" s="11" t="s">
        <v>875</v>
      </c>
      <c r="F15" s="11" t="s">
        <v>388</v>
      </c>
      <c r="G15" s="5" t="s">
        <v>381</v>
      </c>
      <c r="H15" s="12">
        <v>40542</v>
      </c>
      <c r="I15" s="5">
        <v>431940434</v>
      </c>
      <c r="J15" s="5" t="s">
        <v>2</v>
      </c>
    </row>
    <row r="16" spans="1:10" ht="17" x14ac:dyDescent="0.5">
      <c r="A16" s="5">
        <v>2</v>
      </c>
      <c r="B16" s="5" t="s">
        <v>272</v>
      </c>
      <c r="C16" s="5" t="s">
        <v>815</v>
      </c>
      <c r="D16" s="11" t="s">
        <v>525</v>
      </c>
      <c r="E16" s="11" t="s">
        <v>563</v>
      </c>
      <c r="F16" s="11" t="s">
        <v>440</v>
      </c>
      <c r="G16" s="5" t="s">
        <v>381</v>
      </c>
      <c r="H16" s="12">
        <v>39985</v>
      </c>
      <c r="I16" s="5">
        <v>431983624</v>
      </c>
      <c r="J16" s="5" t="s">
        <v>2</v>
      </c>
    </row>
    <row r="17" spans="1:10" ht="17" x14ac:dyDescent="0.5">
      <c r="A17" s="5">
        <v>3</v>
      </c>
      <c r="B17" s="5" t="s">
        <v>273</v>
      </c>
      <c r="C17" s="5" t="s">
        <v>816</v>
      </c>
      <c r="D17" s="11" t="s">
        <v>494</v>
      </c>
      <c r="E17" s="11" t="s">
        <v>876</v>
      </c>
      <c r="F17" s="11" t="s">
        <v>552</v>
      </c>
      <c r="G17" s="5" t="s">
        <v>381</v>
      </c>
      <c r="H17" s="12">
        <v>40109</v>
      </c>
      <c r="I17" s="5">
        <v>431721792</v>
      </c>
      <c r="J17" s="5" t="s">
        <v>2</v>
      </c>
    </row>
    <row r="18" spans="1:10" ht="17" x14ac:dyDescent="0.5">
      <c r="A18" s="5">
        <v>4</v>
      </c>
      <c r="B18" s="5" t="s">
        <v>274</v>
      </c>
      <c r="C18" s="5" t="s">
        <v>817</v>
      </c>
      <c r="D18" s="11" t="s">
        <v>675</v>
      </c>
      <c r="E18" s="11" t="s">
        <v>563</v>
      </c>
      <c r="F18" s="11" t="s">
        <v>479</v>
      </c>
      <c r="G18" s="5" t="s">
        <v>381</v>
      </c>
      <c r="H18" s="12">
        <v>40174</v>
      </c>
      <c r="I18" s="5">
        <v>431930792</v>
      </c>
      <c r="J18" s="5" t="s">
        <v>2</v>
      </c>
    </row>
    <row r="19" spans="1:10" ht="17" x14ac:dyDescent="0.5">
      <c r="A19" s="5">
        <v>5</v>
      </c>
      <c r="B19" s="5" t="s">
        <v>275</v>
      </c>
      <c r="C19" s="5" t="s">
        <v>818</v>
      </c>
      <c r="D19" s="11" t="s">
        <v>677</v>
      </c>
      <c r="E19" s="11" t="s">
        <v>709</v>
      </c>
      <c r="F19" s="11" t="s">
        <v>877</v>
      </c>
      <c r="G19" s="5" t="s">
        <v>380</v>
      </c>
      <c r="H19" s="12">
        <v>39120</v>
      </c>
      <c r="I19" s="5">
        <v>431236383</v>
      </c>
      <c r="J19" s="5" t="s">
        <v>2</v>
      </c>
    </row>
    <row r="20" spans="1:10" ht="17" x14ac:dyDescent="0.5">
      <c r="A20" s="5">
        <v>6</v>
      </c>
      <c r="B20" s="5" t="s">
        <v>276</v>
      </c>
      <c r="C20" s="5" t="s">
        <v>819</v>
      </c>
      <c r="D20" s="11" t="s">
        <v>878</v>
      </c>
      <c r="E20" s="11" t="s">
        <v>462</v>
      </c>
      <c r="F20" s="11" t="s">
        <v>416</v>
      </c>
      <c r="G20" s="5" t="s">
        <v>380</v>
      </c>
      <c r="H20" s="12">
        <v>40048</v>
      </c>
      <c r="I20" s="5">
        <v>43849428</v>
      </c>
      <c r="J20" s="5" t="s">
        <v>2</v>
      </c>
    </row>
    <row r="21" spans="1:10" ht="17" x14ac:dyDescent="0.5">
      <c r="A21" s="5">
        <v>7</v>
      </c>
      <c r="B21" s="5" t="s">
        <v>277</v>
      </c>
      <c r="C21" s="5" t="s">
        <v>820</v>
      </c>
      <c r="D21" s="11" t="s">
        <v>536</v>
      </c>
      <c r="E21" s="11" t="s">
        <v>879</v>
      </c>
      <c r="F21" s="11" t="s">
        <v>440</v>
      </c>
      <c r="G21" s="5" t="s">
        <v>381</v>
      </c>
      <c r="H21" s="12">
        <v>40360</v>
      </c>
      <c r="I21" s="5">
        <v>432230359</v>
      </c>
      <c r="J21" s="5" t="s">
        <v>2</v>
      </c>
    </row>
    <row r="22" spans="1:10" ht="17" x14ac:dyDescent="0.5">
      <c r="A22" s="5">
        <v>8</v>
      </c>
      <c r="B22" s="5" t="s">
        <v>278</v>
      </c>
      <c r="C22" s="5" t="s">
        <v>821</v>
      </c>
      <c r="D22" s="11" t="s">
        <v>597</v>
      </c>
      <c r="E22" s="11" t="s">
        <v>880</v>
      </c>
      <c r="F22" s="11" t="s">
        <v>388</v>
      </c>
      <c r="G22" s="5" t="s">
        <v>381</v>
      </c>
      <c r="H22" s="12">
        <v>40181</v>
      </c>
      <c r="I22" s="5">
        <v>431609561</v>
      </c>
      <c r="J22" s="5" t="s">
        <v>2</v>
      </c>
    </row>
    <row r="23" spans="1:10" ht="17" x14ac:dyDescent="0.5">
      <c r="A23" s="5">
        <v>9</v>
      </c>
      <c r="B23" s="5" t="s">
        <v>279</v>
      </c>
      <c r="C23" s="5" t="s">
        <v>822</v>
      </c>
      <c r="D23" s="11" t="s">
        <v>684</v>
      </c>
      <c r="E23" s="11" t="s">
        <v>514</v>
      </c>
      <c r="F23" s="11" t="s">
        <v>414</v>
      </c>
      <c r="G23" s="5" t="s">
        <v>380</v>
      </c>
      <c r="H23" s="12">
        <v>39459</v>
      </c>
      <c r="I23" s="5">
        <v>1231003096</v>
      </c>
      <c r="J23" s="5" t="s">
        <v>2</v>
      </c>
    </row>
    <row r="24" spans="1:10" ht="17" x14ac:dyDescent="0.5">
      <c r="A24" s="5">
        <v>10</v>
      </c>
      <c r="B24" s="5" t="s">
        <v>280</v>
      </c>
      <c r="C24" s="5" t="s">
        <v>823</v>
      </c>
      <c r="D24" s="11" t="s">
        <v>652</v>
      </c>
      <c r="E24" s="11" t="s">
        <v>698</v>
      </c>
      <c r="F24" s="11" t="s">
        <v>388</v>
      </c>
      <c r="G24" s="5" t="s">
        <v>381</v>
      </c>
      <c r="H24" s="12">
        <v>39711</v>
      </c>
      <c r="I24" s="5">
        <v>602202322</v>
      </c>
      <c r="J24" s="5" t="s">
        <v>2</v>
      </c>
    </row>
    <row r="25" spans="1:10" ht="17" x14ac:dyDescent="0.5">
      <c r="A25" s="5">
        <v>11</v>
      </c>
      <c r="B25" s="5" t="s">
        <v>281</v>
      </c>
      <c r="C25" s="5" t="s">
        <v>824</v>
      </c>
      <c r="D25" s="11" t="s">
        <v>419</v>
      </c>
      <c r="E25" s="11" t="s">
        <v>709</v>
      </c>
      <c r="F25" s="11" t="s">
        <v>414</v>
      </c>
      <c r="G25" s="5" t="s">
        <v>380</v>
      </c>
      <c r="H25" s="12">
        <v>39711</v>
      </c>
      <c r="I25" s="5">
        <v>432025375</v>
      </c>
      <c r="J25" s="5" t="s">
        <v>2</v>
      </c>
    </row>
    <row r="26" spans="1:10" ht="17" x14ac:dyDescent="0.5">
      <c r="A26" s="5">
        <v>12</v>
      </c>
      <c r="B26" s="5" t="s">
        <v>282</v>
      </c>
      <c r="C26" s="5" t="s">
        <v>825</v>
      </c>
      <c r="D26" s="11" t="s">
        <v>419</v>
      </c>
      <c r="E26" s="11" t="s">
        <v>881</v>
      </c>
      <c r="F26" s="11" t="s">
        <v>479</v>
      </c>
      <c r="G26" s="5" t="s">
        <v>381</v>
      </c>
      <c r="H26" s="12">
        <v>39592</v>
      </c>
      <c r="I26" s="5">
        <v>431940725</v>
      </c>
      <c r="J26" s="5" t="s">
        <v>2</v>
      </c>
    </row>
    <row r="27" spans="1:10" ht="17" x14ac:dyDescent="0.5">
      <c r="A27" s="5">
        <v>13</v>
      </c>
      <c r="B27" s="5" t="s">
        <v>283</v>
      </c>
      <c r="C27" s="5" t="s">
        <v>826</v>
      </c>
      <c r="D27" s="11" t="s">
        <v>549</v>
      </c>
      <c r="E27" s="11" t="s">
        <v>466</v>
      </c>
      <c r="F27" s="11" t="s">
        <v>379</v>
      </c>
      <c r="G27" s="5" t="s">
        <v>380</v>
      </c>
      <c r="H27" s="12">
        <v>40436</v>
      </c>
      <c r="I27" s="5">
        <v>431622492</v>
      </c>
      <c r="J27" s="5" t="s">
        <v>2</v>
      </c>
    </row>
    <row r="28" spans="1:10" ht="17" x14ac:dyDescent="0.5">
      <c r="A28" s="5">
        <v>14</v>
      </c>
      <c r="B28" s="5" t="s">
        <v>284</v>
      </c>
      <c r="C28" s="5" t="s">
        <v>827</v>
      </c>
      <c r="D28" s="11" t="s">
        <v>882</v>
      </c>
      <c r="E28" s="11" t="s">
        <v>883</v>
      </c>
      <c r="F28" s="11" t="s">
        <v>401</v>
      </c>
      <c r="G28" s="5" t="s">
        <v>381</v>
      </c>
      <c r="H28" s="12">
        <v>40332</v>
      </c>
      <c r="I28" s="5">
        <v>431930794</v>
      </c>
      <c r="J28" s="5" t="s">
        <v>2</v>
      </c>
    </row>
    <row r="29" spans="1:10" ht="17" x14ac:dyDescent="0.5">
      <c r="A29" s="5">
        <v>15</v>
      </c>
      <c r="B29" s="5" t="s">
        <v>285</v>
      </c>
      <c r="C29" s="5" t="s">
        <v>828</v>
      </c>
      <c r="D29" s="11" t="s">
        <v>427</v>
      </c>
      <c r="E29" s="11" t="s">
        <v>884</v>
      </c>
      <c r="F29" s="11" t="s">
        <v>388</v>
      </c>
      <c r="G29" s="5" t="s">
        <v>381</v>
      </c>
      <c r="H29" s="12">
        <v>40669</v>
      </c>
      <c r="I29" s="5">
        <v>431426826</v>
      </c>
      <c r="J29" s="5" t="s">
        <v>2</v>
      </c>
    </row>
    <row r="30" spans="1:10" ht="17" x14ac:dyDescent="0.5">
      <c r="A30" s="5">
        <v>16</v>
      </c>
      <c r="B30" s="5" t="s">
        <v>286</v>
      </c>
      <c r="C30" s="5" t="s">
        <v>829</v>
      </c>
      <c r="D30" s="11" t="s">
        <v>427</v>
      </c>
      <c r="E30" s="11" t="s">
        <v>885</v>
      </c>
      <c r="F30" s="11" t="s">
        <v>886</v>
      </c>
      <c r="G30" s="5" t="s">
        <v>381</v>
      </c>
      <c r="H30" s="12">
        <v>40521</v>
      </c>
      <c r="I30" s="5">
        <v>431452153</v>
      </c>
      <c r="J30" s="5" t="s">
        <v>2</v>
      </c>
    </row>
    <row r="31" spans="1:10" ht="17" x14ac:dyDescent="0.5">
      <c r="A31" s="5">
        <v>17</v>
      </c>
      <c r="B31" s="5" t="s">
        <v>287</v>
      </c>
      <c r="C31" s="5" t="s">
        <v>830</v>
      </c>
      <c r="D31" s="11" t="s">
        <v>427</v>
      </c>
      <c r="E31" s="11" t="s">
        <v>601</v>
      </c>
      <c r="F31" s="11" t="s">
        <v>401</v>
      </c>
      <c r="G31" s="5" t="s">
        <v>381</v>
      </c>
      <c r="H31" s="12">
        <v>39845</v>
      </c>
      <c r="I31" s="5">
        <v>431987091</v>
      </c>
      <c r="J31" s="5" t="s">
        <v>2</v>
      </c>
    </row>
    <row r="32" spans="1:10" ht="17" x14ac:dyDescent="0.5">
      <c r="A32" s="5">
        <v>18</v>
      </c>
      <c r="B32" s="5" t="s">
        <v>288</v>
      </c>
      <c r="C32" s="5" t="s">
        <v>831</v>
      </c>
      <c r="D32" s="11" t="s">
        <v>427</v>
      </c>
      <c r="E32" s="11" t="s">
        <v>887</v>
      </c>
      <c r="F32" s="11" t="s">
        <v>401</v>
      </c>
      <c r="G32" s="5" t="s">
        <v>381</v>
      </c>
      <c r="H32" s="12">
        <v>39988</v>
      </c>
      <c r="I32" s="5">
        <v>4321403333</v>
      </c>
      <c r="J32" s="5" t="s">
        <v>2</v>
      </c>
    </row>
    <row r="33" spans="1:10" ht="17" x14ac:dyDescent="0.5">
      <c r="A33" s="5">
        <v>19</v>
      </c>
      <c r="B33" s="5" t="s">
        <v>289</v>
      </c>
      <c r="C33" s="5" t="s">
        <v>832</v>
      </c>
      <c r="D33" s="11" t="s">
        <v>427</v>
      </c>
      <c r="E33" s="11" t="s">
        <v>888</v>
      </c>
      <c r="F33" s="11" t="s">
        <v>518</v>
      </c>
      <c r="G33" s="5" t="s">
        <v>381</v>
      </c>
      <c r="H33" s="12">
        <v>40083</v>
      </c>
      <c r="I33" s="5">
        <v>431983626</v>
      </c>
      <c r="J33" s="5" t="s">
        <v>2</v>
      </c>
    </row>
    <row r="34" spans="1:10" ht="17" x14ac:dyDescent="0.5">
      <c r="A34" s="5">
        <v>20</v>
      </c>
      <c r="B34" s="5" t="s">
        <v>290</v>
      </c>
      <c r="C34" s="5" t="s">
        <v>833</v>
      </c>
      <c r="D34" s="11" t="s">
        <v>889</v>
      </c>
      <c r="E34" s="11" t="s">
        <v>480</v>
      </c>
      <c r="F34" s="11" t="s">
        <v>401</v>
      </c>
      <c r="G34" s="5" t="s">
        <v>381</v>
      </c>
      <c r="H34" s="12">
        <v>40116</v>
      </c>
      <c r="I34" s="5">
        <v>431236985</v>
      </c>
      <c r="J34" s="5" t="s">
        <v>2</v>
      </c>
    </row>
    <row r="35" spans="1:10" ht="17" x14ac:dyDescent="0.5">
      <c r="A35" s="5">
        <v>21</v>
      </c>
      <c r="B35" s="5" t="s">
        <v>291</v>
      </c>
      <c r="C35" s="5" t="s">
        <v>834</v>
      </c>
      <c r="D35" s="11" t="s">
        <v>554</v>
      </c>
      <c r="E35" s="11" t="s">
        <v>533</v>
      </c>
      <c r="F35" s="11" t="s">
        <v>379</v>
      </c>
      <c r="G35" s="5" t="s">
        <v>380</v>
      </c>
      <c r="H35" s="12">
        <v>40097</v>
      </c>
      <c r="I35" s="5" t="s">
        <v>292</v>
      </c>
      <c r="J35" s="5" t="s">
        <v>2</v>
      </c>
    </row>
    <row r="36" spans="1:10" ht="17" x14ac:dyDescent="0.5">
      <c r="A36" s="5">
        <v>22</v>
      </c>
      <c r="B36" s="5" t="s">
        <v>293</v>
      </c>
      <c r="C36" s="5" t="s">
        <v>835</v>
      </c>
      <c r="D36" s="11" t="s">
        <v>554</v>
      </c>
      <c r="E36" s="11" t="s">
        <v>890</v>
      </c>
      <c r="F36" s="11" t="s">
        <v>891</v>
      </c>
      <c r="G36" s="5" t="s">
        <v>380</v>
      </c>
      <c r="H36" s="12">
        <v>40223</v>
      </c>
      <c r="I36" s="5">
        <v>431914729</v>
      </c>
      <c r="J36" s="5" t="s">
        <v>2</v>
      </c>
    </row>
    <row r="37" spans="1:10" ht="17" x14ac:dyDescent="0.5">
      <c r="A37" s="5">
        <v>23</v>
      </c>
      <c r="B37" s="5" t="s">
        <v>294</v>
      </c>
      <c r="C37" s="5" t="s">
        <v>836</v>
      </c>
      <c r="D37" s="11" t="s">
        <v>554</v>
      </c>
      <c r="E37" s="11" t="s">
        <v>892</v>
      </c>
      <c r="F37" s="11" t="s">
        <v>401</v>
      </c>
      <c r="G37" s="5" t="s">
        <v>381</v>
      </c>
      <c r="H37" s="12">
        <v>40051</v>
      </c>
      <c r="I37" s="5">
        <v>431930789</v>
      </c>
      <c r="J37" s="5" t="s">
        <v>2</v>
      </c>
    </row>
    <row r="38" spans="1:10" ht="17" x14ac:dyDescent="0.5">
      <c r="A38" s="5">
        <v>24</v>
      </c>
      <c r="B38" s="5" t="s">
        <v>295</v>
      </c>
      <c r="C38" s="5" t="s">
        <v>837</v>
      </c>
      <c r="D38" s="11" t="s">
        <v>508</v>
      </c>
      <c r="E38" s="11" t="s">
        <v>893</v>
      </c>
      <c r="F38" s="11" t="s">
        <v>894</v>
      </c>
      <c r="G38" s="5" t="s">
        <v>381</v>
      </c>
      <c r="H38" s="12">
        <v>39339</v>
      </c>
      <c r="I38" s="5">
        <v>430801714</v>
      </c>
      <c r="J38" s="5" t="s">
        <v>2</v>
      </c>
    </row>
    <row r="39" spans="1:10" ht="17" x14ac:dyDescent="0.5">
      <c r="A39" s="5">
        <v>25</v>
      </c>
      <c r="B39" s="5" t="s">
        <v>296</v>
      </c>
      <c r="C39" s="5" t="s">
        <v>838</v>
      </c>
      <c r="D39" s="11" t="s">
        <v>508</v>
      </c>
      <c r="E39" s="11" t="s">
        <v>895</v>
      </c>
      <c r="F39" s="11" t="s">
        <v>379</v>
      </c>
      <c r="G39" s="5" t="s">
        <v>380</v>
      </c>
      <c r="H39" s="12">
        <v>39751</v>
      </c>
      <c r="I39" s="5">
        <v>431219587</v>
      </c>
      <c r="J39" s="5" t="s">
        <v>2</v>
      </c>
    </row>
    <row r="40" spans="1:10" ht="17" x14ac:dyDescent="0.5">
      <c r="A40" s="5">
        <v>26</v>
      </c>
      <c r="B40" s="5" t="s">
        <v>297</v>
      </c>
      <c r="C40" s="5" t="s">
        <v>839</v>
      </c>
      <c r="D40" s="11" t="s">
        <v>441</v>
      </c>
      <c r="E40" s="11" t="s">
        <v>442</v>
      </c>
      <c r="F40" s="11" t="s">
        <v>443</v>
      </c>
      <c r="G40" s="5" t="s">
        <v>380</v>
      </c>
      <c r="H40" s="12">
        <v>40389</v>
      </c>
      <c r="I40" s="5">
        <v>431609567</v>
      </c>
      <c r="J40" s="5" t="s">
        <v>2</v>
      </c>
    </row>
    <row r="41" spans="1:10" ht="17" x14ac:dyDescent="0.5">
      <c r="A41" s="5">
        <v>27</v>
      </c>
      <c r="B41" s="5" t="s">
        <v>298</v>
      </c>
      <c r="C41" s="5" t="s">
        <v>840</v>
      </c>
      <c r="D41" s="11" t="s">
        <v>896</v>
      </c>
      <c r="E41" s="11" t="s">
        <v>703</v>
      </c>
      <c r="F41" s="11" t="s">
        <v>897</v>
      </c>
      <c r="G41" s="5" t="s">
        <v>381</v>
      </c>
      <c r="H41" s="12">
        <v>41526</v>
      </c>
      <c r="I41" s="5">
        <v>431417916</v>
      </c>
      <c r="J41" s="5" t="s">
        <v>2</v>
      </c>
    </row>
    <row r="42" spans="1:10" ht="17" x14ac:dyDescent="0.5">
      <c r="A42" s="5">
        <v>28</v>
      </c>
      <c r="B42" s="5" t="s">
        <v>299</v>
      </c>
      <c r="C42" s="5" t="s">
        <v>841</v>
      </c>
      <c r="D42" s="11" t="s">
        <v>447</v>
      </c>
      <c r="E42" s="11" t="s">
        <v>408</v>
      </c>
      <c r="F42" s="11" t="s">
        <v>401</v>
      </c>
      <c r="G42" s="5" t="s">
        <v>381</v>
      </c>
      <c r="H42" s="12">
        <v>40059</v>
      </c>
      <c r="I42" s="5">
        <v>431938390</v>
      </c>
      <c r="J42" s="5" t="s">
        <v>2</v>
      </c>
    </row>
    <row r="43" spans="1:10" ht="17" x14ac:dyDescent="0.5">
      <c r="A43" s="5">
        <v>29</v>
      </c>
      <c r="B43" s="5" t="s">
        <v>300</v>
      </c>
      <c r="C43" s="5" t="s">
        <v>842</v>
      </c>
      <c r="D43" s="11" t="s">
        <v>449</v>
      </c>
      <c r="E43" s="11" t="s">
        <v>450</v>
      </c>
      <c r="F43" s="11" t="s">
        <v>423</v>
      </c>
      <c r="G43" s="5" t="s">
        <v>381</v>
      </c>
      <c r="H43" s="12">
        <v>39211</v>
      </c>
      <c r="I43" s="5">
        <v>431520484</v>
      </c>
      <c r="J43" s="5" t="s">
        <v>2</v>
      </c>
    </row>
    <row r="44" spans="1:10" ht="17" x14ac:dyDescent="0.5">
      <c r="A44" s="5">
        <v>30</v>
      </c>
      <c r="B44" s="5" t="s">
        <v>301</v>
      </c>
      <c r="C44" s="5" t="s">
        <v>843</v>
      </c>
      <c r="D44" s="11" t="s">
        <v>511</v>
      </c>
      <c r="E44" s="11" t="s">
        <v>898</v>
      </c>
      <c r="F44" s="11" t="s">
        <v>414</v>
      </c>
      <c r="G44" s="5" t="s">
        <v>380</v>
      </c>
      <c r="H44" s="12">
        <v>40396</v>
      </c>
      <c r="I44" s="5">
        <v>431931307</v>
      </c>
      <c r="J44" s="5" t="s">
        <v>2</v>
      </c>
    </row>
    <row r="45" spans="1:10" ht="17" x14ac:dyDescent="0.5">
      <c r="A45" s="5">
        <v>31</v>
      </c>
      <c r="B45" s="5" t="s">
        <v>302</v>
      </c>
      <c r="C45" s="5" t="s">
        <v>844</v>
      </c>
      <c r="D45" s="11" t="s">
        <v>500</v>
      </c>
      <c r="E45" s="11" t="s">
        <v>899</v>
      </c>
      <c r="F45" s="11" t="s">
        <v>900</v>
      </c>
      <c r="G45" s="5" t="s">
        <v>381</v>
      </c>
      <c r="H45" s="12">
        <v>40527</v>
      </c>
      <c r="I45" s="5">
        <v>431983324</v>
      </c>
      <c r="J45" s="5" t="s">
        <v>2</v>
      </c>
    </row>
    <row r="46" spans="1:10" ht="17" x14ac:dyDescent="0.5">
      <c r="A46" s="5">
        <v>32</v>
      </c>
      <c r="B46" s="5" t="s">
        <v>303</v>
      </c>
      <c r="C46" s="5" t="s">
        <v>845</v>
      </c>
      <c r="D46" s="11" t="s">
        <v>456</v>
      </c>
      <c r="E46" s="11" t="s">
        <v>901</v>
      </c>
      <c r="F46" s="11" t="s">
        <v>379</v>
      </c>
      <c r="G46" s="5" t="s">
        <v>380</v>
      </c>
      <c r="H46" s="12">
        <v>39547</v>
      </c>
      <c r="I46" s="5">
        <v>431833682</v>
      </c>
      <c r="J46" s="5" t="s">
        <v>2</v>
      </c>
    </row>
    <row r="47" spans="1:10" ht="17" x14ac:dyDescent="0.5">
      <c r="A47" s="5">
        <v>33</v>
      </c>
      <c r="B47" s="5" t="s">
        <v>304</v>
      </c>
      <c r="C47" s="5" t="s">
        <v>846</v>
      </c>
      <c r="D47" s="11" t="s">
        <v>456</v>
      </c>
      <c r="E47" s="11" t="s">
        <v>902</v>
      </c>
      <c r="F47" s="11" t="s">
        <v>903</v>
      </c>
      <c r="G47" s="5" t="s">
        <v>380</v>
      </c>
      <c r="H47" s="12">
        <v>40314</v>
      </c>
      <c r="I47" s="5">
        <v>131007449</v>
      </c>
      <c r="J47" s="5" t="s">
        <v>2</v>
      </c>
    </row>
    <row r="48" spans="1:10" ht="17" x14ac:dyDescent="0.5">
      <c r="A48" s="5">
        <v>34</v>
      </c>
      <c r="B48" s="5" t="s">
        <v>305</v>
      </c>
      <c r="C48" s="5" t="s">
        <v>847</v>
      </c>
      <c r="D48" s="11" t="s">
        <v>456</v>
      </c>
      <c r="E48" s="11" t="s">
        <v>904</v>
      </c>
      <c r="F48" s="11" t="s">
        <v>401</v>
      </c>
      <c r="G48" s="5" t="s">
        <v>381</v>
      </c>
      <c r="H48" s="12">
        <v>39814</v>
      </c>
      <c r="I48" s="5">
        <v>431226814</v>
      </c>
      <c r="J48" s="5" t="s">
        <v>2</v>
      </c>
    </row>
    <row r="49" spans="1:10" ht="17" x14ac:dyDescent="0.5">
      <c r="A49" s="5">
        <v>35</v>
      </c>
      <c r="B49" s="5" t="s">
        <v>306</v>
      </c>
      <c r="C49" s="5" t="s">
        <v>848</v>
      </c>
      <c r="D49" s="11" t="s">
        <v>461</v>
      </c>
      <c r="E49" s="11" t="s">
        <v>905</v>
      </c>
      <c r="F49" s="11" t="s">
        <v>423</v>
      </c>
      <c r="G49" s="5" t="s">
        <v>381</v>
      </c>
      <c r="H49" s="12">
        <v>39908</v>
      </c>
      <c r="I49" s="5">
        <v>432017564</v>
      </c>
      <c r="J49" s="5" t="s">
        <v>2</v>
      </c>
    </row>
    <row r="50" spans="1:10" ht="17" x14ac:dyDescent="0.5">
      <c r="A50" s="5">
        <v>36</v>
      </c>
      <c r="B50" s="5" t="s">
        <v>307</v>
      </c>
      <c r="C50" s="5" t="s">
        <v>849</v>
      </c>
      <c r="D50" s="11" t="s">
        <v>461</v>
      </c>
      <c r="E50" s="11" t="s">
        <v>514</v>
      </c>
      <c r="F50" s="11" t="s">
        <v>379</v>
      </c>
      <c r="G50" s="5" t="s">
        <v>381</v>
      </c>
      <c r="H50" s="12">
        <v>40303</v>
      </c>
      <c r="I50" s="5">
        <v>431448926</v>
      </c>
      <c r="J50" s="5" t="s">
        <v>2</v>
      </c>
    </row>
    <row r="51" spans="1:10" ht="17" x14ac:dyDescent="0.5">
      <c r="A51" s="5">
        <v>37</v>
      </c>
      <c r="B51" s="5" t="s">
        <v>308</v>
      </c>
      <c r="C51" s="5" t="s">
        <v>850</v>
      </c>
      <c r="D51" s="11" t="s">
        <v>461</v>
      </c>
      <c r="E51" s="11" t="s">
        <v>906</v>
      </c>
      <c r="F51" s="11" t="s">
        <v>388</v>
      </c>
      <c r="G51" s="5" t="s">
        <v>381</v>
      </c>
      <c r="H51" s="12">
        <v>41138</v>
      </c>
      <c r="I51" s="5">
        <v>431840004</v>
      </c>
      <c r="J51" s="5" t="s">
        <v>2</v>
      </c>
    </row>
    <row r="52" spans="1:10" ht="17" x14ac:dyDescent="0.5">
      <c r="A52" s="5">
        <v>38</v>
      </c>
      <c r="B52" s="5" t="s">
        <v>309</v>
      </c>
      <c r="C52" s="5" t="s">
        <v>851</v>
      </c>
      <c r="D52" s="11" t="s">
        <v>584</v>
      </c>
      <c r="E52" s="11" t="s">
        <v>907</v>
      </c>
      <c r="F52" s="11" t="s">
        <v>416</v>
      </c>
      <c r="G52" s="5" t="s">
        <v>380</v>
      </c>
      <c r="H52" s="12">
        <v>39813</v>
      </c>
      <c r="I52" s="5">
        <v>431606675</v>
      </c>
      <c r="J52" s="5" t="s">
        <v>2</v>
      </c>
    </row>
    <row r="53" spans="1:10" ht="17" x14ac:dyDescent="0.5">
      <c r="A53" s="5">
        <v>39</v>
      </c>
      <c r="B53" s="5" t="s">
        <v>310</v>
      </c>
      <c r="C53" s="5" t="s">
        <v>852</v>
      </c>
      <c r="D53" s="11" t="s">
        <v>631</v>
      </c>
      <c r="E53" s="11" t="s">
        <v>908</v>
      </c>
      <c r="F53" s="11" t="s">
        <v>388</v>
      </c>
      <c r="G53" s="5" t="s">
        <v>381</v>
      </c>
      <c r="H53" s="12">
        <v>41497</v>
      </c>
      <c r="I53" s="5">
        <v>431417922</v>
      </c>
      <c r="J53" s="5" t="s">
        <v>2</v>
      </c>
    </row>
    <row r="54" spans="1:10" ht="17" x14ac:dyDescent="0.5">
      <c r="A54" s="5">
        <v>40</v>
      </c>
      <c r="B54" s="5" t="s">
        <v>311</v>
      </c>
      <c r="C54" s="5" t="s">
        <v>853</v>
      </c>
      <c r="D54" s="11" t="s">
        <v>376</v>
      </c>
      <c r="E54" s="11" t="s">
        <v>909</v>
      </c>
      <c r="F54" s="11" t="s">
        <v>440</v>
      </c>
      <c r="G54" s="5" t="s">
        <v>381</v>
      </c>
      <c r="H54" s="12">
        <v>40243</v>
      </c>
      <c r="I54" s="5">
        <v>4318101047</v>
      </c>
      <c r="J54" s="5" t="s">
        <v>2</v>
      </c>
    </row>
    <row r="55" spans="1:10" ht="17" x14ac:dyDescent="0.5">
      <c r="A55" s="5">
        <v>41</v>
      </c>
      <c r="B55" s="5" t="s">
        <v>312</v>
      </c>
      <c r="C55" s="5" t="s">
        <v>854</v>
      </c>
      <c r="D55" s="11" t="s">
        <v>376</v>
      </c>
      <c r="E55" s="11" t="s">
        <v>716</v>
      </c>
      <c r="F55" s="11" t="s">
        <v>910</v>
      </c>
      <c r="G55" s="5" t="s">
        <v>380</v>
      </c>
      <c r="H55" s="12">
        <v>39833</v>
      </c>
      <c r="I55" s="5">
        <v>431927490</v>
      </c>
      <c r="J55" s="5" t="s">
        <v>2</v>
      </c>
    </row>
    <row r="56" spans="1:10" ht="17" x14ac:dyDescent="0.5">
      <c r="A56" s="5">
        <v>42</v>
      </c>
      <c r="B56" s="5" t="s">
        <v>313</v>
      </c>
      <c r="C56" s="5" t="s">
        <v>855</v>
      </c>
      <c r="D56" s="11" t="s">
        <v>376</v>
      </c>
      <c r="E56" s="11" t="s">
        <v>386</v>
      </c>
      <c r="F56" s="11" t="s">
        <v>401</v>
      </c>
      <c r="G56" s="5" t="s">
        <v>381</v>
      </c>
      <c r="H56" s="12">
        <v>39437</v>
      </c>
      <c r="I56" s="5">
        <v>431637557</v>
      </c>
      <c r="J56" s="5" t="s">
        <v>2</v>
      </c>
    </row>
    <row r="57" spans="1:10" ht="17" x14ac:dyDescent="0.5">
      <c r="A57" s="5">
        <v>43</v>
      </c>
      <c r="B57" s="5" t="s">
        <v>314</v>
      </c>
      <c r="C57" s="5" t="s">
        <v>856</v>
      </c>
      <c r="D57" s="11" t="s">
        <v>376</v>
      </c>
      <c r="E57" s="11" t="s">
        <v>911</v>
      </c>
      <c r="F57" s="11" t="s">
        <v>421</v>
      </c>
      <c r="G57" s="5" t="s">
        <v>380</v>
      </c>
      <c r="H57" s="12">
        <v>40041</v>
      </c>
      <c r="I57" s="5">
        <v>431124461</v>
      </c>
      <c r="J57" s="5" t="s">
        <v>2</v>
      </c>
    </row>
    <row r="58" spans="1:10" ht="17" x14ac:dyDescent="0.5">
      <c r="A58" s="5">
        <v>44</v>
      </c>
      <c r="B58" s="5" t="s">
        <v>315</v>
      </c>
      <c r="C58" s="5" t="s">
        <v>857</v>
      </c>
      <c r="D58" s="11" t="s">
        <v>376</v>
      </c>
      <c r="E58" s="11" t="s">
        <v>413</v>
      </c>
      <c r="F58" s="11" t="s">
        <v>443</v>
      </c>
      <c r="G58" s="5" t="s">
        <v>380</v>
      </c>
      <c r="H58" s="12">
        <v>39963</v>
      </c>
      <c r="I58" s="5">
        <v>260938467</v>
      </c>
      <c r="J58" s="5" t="s">
        <v>2</v>
      </c>
    </row>
    <row r="59" spans="1:10" ht="17" x14ac:dyDescent="0.5">
      <c r="A59" s="5">
        <v>45</v>
      </c>
      <c r="B59" s="5" t="s">
        <v>316</v>
      </c>
      <c r="C59" s="5" t="s">
        <v>858</v>
      </c>
      <c r="D59" s="11" t="s">
        <v>376</v>
      </c>
      <c r="E59" s="11" t="s">
        <v>912</v>
      </c>
      <c r="F59" s="11" t="s">
        <v>416</v>
      </c>
      <c r="G59" s="5" t="s">
        <v>380</v>
      </c>
      <c r="H59" s="12">
        <v>39830</v>
      </c>
      <c r="I59" s="5">
        <v>431933525</v>
      </c>
      <c r="J59" s="5" t="s">
        <v>2</v>
      </c>
    </row>
    <row r="60" spans="1:10" ht="17" x14ac:dyDescent="0.5">
      <c r="A60" s="5">
        <v>46</v>
      </c>
      <c r="B60" s="5" t="s">
        <v>317</v>
      </c>
      <c r="C60" s="5" t="s">
        <v>859</v>
      </c>
      <c r="D60" s="11" t="s">
        <v>376</v>
      </c>
      <c r="E60" s="11" t="s">
        <v>913</v>
      </c>
      <c r="F60" s="11" t="s">
        <v>914</v>
      </c>
      <c r="G60" s="5" t="s">
        <v>380</v>
      </c>
      <c r="H60" s="12">
        <v>40344</v>
      </c>
      <c r="I60" s="5">
        <v>431721789</v>
      </c>
      <c r="J60" s="5" t="s">
        <v>2</v>
      </c>
    </row>
    <row r="61" spans="1:10" ht="17" x14ac:dyDescent="0.5">
      <c r="A61" s="5">
        <v>47</v>
      </c>
      <c r="B61" s="5" t="s">
        <v>318</v>
      </c>
      <c r="C61" s="5" t="s">
        <v>860</v>
      </c>
      <c r="D61" s="11" t="s">
        <v>376</v>
      </c>
      <c r="E61" s="11" t="s">
        <v>915</v>
      </c>
      <c r="F61" s="11" t="s">
        <v>916</v>
      </c>
      <c r="G61" s="5" t="s">
        <v>380</v>
      </c>
      <c r="H61" s="12">
        <v>40473</v>
      </c>
      <c r="I61" s="5">
        <v>431404182</v>
      </c>
      <c r="J61" s="5" t="s">
        <v>2</v>
      </c>
    </row>
    <row r="62" spans="1:10" ht="17" x14ac:dyDescent="0.5">
      <c r="A62" s="5">
        <v>48</v>
      </c>
      <c r="B62" s="5" t="s">
        <v>319</v>
      </c>
      <c r="C62" s="5" t="s">
        <v>861</v>
      </c>
      <c r="D62" s="11" t="s">
        <v>376</v>
      </c>
      <c r="E62" s="11" t="s">
        <v>917</v>
      </c>
      <c r="F62" s="11" t="s">
        <v>918</v>
      </c>
      <c r="G62" s="5" t="s">
        <v>380</v>
      </c>
      <c r="H62" s="12">
        <v>39965</v>
      </c>
      <c r="I62" s="5">
        <v>431930783</v>
      </c>
      <c r="J62" s="5" t="s">
        <v>2</v>
      </c>
    </row>
    <row r="63" spans="1:10" ht="17" x14ac:dyDescent="0.5">
      <c r="A63" s="5">
        <v>49</v>
      </c>
      <c r="B63" s="5" t="s">
        <v>320</v>
      </c>
      <c r="C63" s="5" t="s">
        <v>862</v>
      </c>
      <c r="D63" s="11" t="s">
        <v>376</v>
      </c>
      <c r="E63" s="11" t="s">
        <v>433</v>
      </c>
      <c r="F63" s="11" t="s">
        <v>416</v>
      </c>
      <c r="G63" s="5" t="s">
        <v>380</v>
      </c>
      <c r="H63" s="12">
        <v>40170</v>
      </c>
      <c r="I63" s="5">
        <v>431864513</v>
      </c>
      <c r="J63" s="5" t="s">
        <v>2</v>
      </c>
    </row>
    <row r="64" spans="1:10" ht="17" x14ac:dyDescent="0.5">
      <c r="A64" s="5">
        <v>50</v>
      </c>
      <c r="B64" s="5" t="s">
        <v>321</v>
      </c>
      <c r="C64" s="5" t="s">
        <v>863</v>
      </c>
      <c r="D64" s="11" t="s">
        <v>919</v>
      </c>
      <c r="E64" s="11" t="s">
        <v>413</v>
      </c>
      <c r="F64" s="11" t="s">
        <v>618</v>
      </c>
      <c r="G64" s="5" t="s">
        <v>380</v>
      </c>
      <c r="H64" s="12">
        <v>40452</v>
      </c>
      <c r="I64" s="5">
        <v>261629952</v>
      </c>
      <c r="J64" s="5" t="s">
        <v>2</v>
      </c>
    </row>
    <row r="65" spans="1:10" ht="17" x14ac:dyDescent="0.5">
      <c r="A65" s="5">
        <v>51</v>
      </c>
      <c r="B65" s="5" t="s">
        <v>322</v>
      </c>
      <c r="C65" s="5" t="s">
        <v>864</v>
      </c>
      <c r="D65" s="11" t="s">
        <v>382</v>
      </c>
      <c r="E65" s="11" t="s">
        <v>778</v>
      </c>
      <c r="F65" s="11" t="s">
        <v>479</v>
      </c>
      <c r="G65" s="5" t="s">
        <v>381</v>
      </c>
      <c r="H65" s="12">
        <v>40510</v>
      </c>
      <c r="I65" s="5">
        <v>601411479</v>
      </c>
      <c r="J65" s="5" t="s">
        <v>2</v>
      </c>
    </row>
    <row r="66" spans="1:10" ht="17" x14ac:dyDescent="0.5">
      <c r="A66" s="5">
        <v>52</v>
      </c>
      <c r="B66" s="5" t="s">
        <v>323</v>
      </c>
      <c r="C66" s="5" t="s">
        <v>865</v>
      </c>
      <c r="D66" s="11" t="s">
        <v>382</v>
      </c>
      <c r="E66" s="11" t="s">
        <v>920</v>
      </c>
      <c r="F66" s="11" t="s">
        <v>446</v>
      </c>
      <c r="G66" s="5" t="s">
        <v>381</v>
      </c>
      <c r="H66" s="12">
        <v>39861</v>
      </c>
      <c r="I66" s="5">
        <v>491606407</v>
      </c>
      <c r="J66" s="5" t="s">
        <v>2</v>
      </c>
    </row>
    <row r="67" spans="1:10" ht="17" x14ac:dyDescent="0.5">
      <c r="A67" s="5">
        <v>53</v>
      </c>
      <c r="B67" s="5" t="s">
        <v>324</v>
      </c>
      <c r="C67" s="5" t="s">
        <v>866</v>
      </c>
      <c r="D67" s="11" t="s">
        <v>382</v>
      </c>
      <c r="E67" s="11" t="s">
        <v>509</v>
      </c>
      <c r="F67" s="11" t="s">
        <v>571</v>
      </c>
      <c r="G67" s="5" t="s">
        <v>380</v>
      </c>
      <c r="H67" s="12">
        <v>39422</v>
      </c>
      <c r="I67" s="5">
        <v>431930785</v>
      </c>
      <c r="J67" s="5" t="s">
        <v>2</v>
      </c>
    </row>
    <row r="68" spans="1:10" ht="17" x14ac:dyDescent="0.5">
      <c r="A68" s="5">
        <v>54</v>
      </c>
      <c r="B68" s="5" t="s">
        <v>325</v>
      </c>
      <c r="C68" s="5" t="s">
        <v>867</v>
      </c>
      <c r="D68" s="11" t="s">
        <v>670</v>
      </c>
      <c r="E68" s="11" t="s">
        <v>921</v>
      </c>
      <c r="F68" s="11" t="s">
        <v>414</v>
      </c>
      <c r="G68" s="5" t="s">
        <v>380</v>
      </c>
      <c r="H68" s="12">
        <v>40087</v>
      </c>
      <c r="I68" s="5">
        <v>4321932571</v>
      </c>
      <c r="J68" s="5" t="s">
        <v>2</v>
      </c>
    </row>
    <row r="69" spans="1:10" ht="17" x14ac:dyDescent="0.5">
      <c r="A69" s="5">
        <v>55</v>
      </c>
      <c r="B69" s="5" t="s">
        <v>326</v>
      </c>
      <c r="C69" s="5" t="s">
        <v>868</v>
      </c>
      <c r="D69" s="11" t="s">
        <v>484</v>
      </c>
      <c r="E69" s="11" t="s">
        <v>533</v>
      </c>
      <c r="F69" s="11" t="s">
        <v>922</v>
      </c>
      <c r="G69" s="5" t="s">
        <v>380</v>
      </c>
      <c r="H69" s="12">
        <v>40311</v>
      </c>
      <c r="I69" s="5">
        <v>4312312235</v>
      </c>
      <c r="J69" s="5" t="s">
        <v>2</v>
      </c>
    </row>
    <row r="70" spans="1:10" ht="17" x14ac:dyDescent="0.5">
      <c r="A70" s="5">
        <v>56</v>
      </c>
      <c r="B70" s="5" t="s">
        <v>327</v>
      </c>
      <c r="C70" s="5" t="s">
        <v>869</v>
      </c>
      <c r="D70" s="11" t="s">
        <v>519</v>
      </c>
      <c r="E70" s="11" t="s">
        <v>620</v>
      </c>
      <c r="F70" s="11" t="s">
        <v>416</v>
      </c>
      <c r="G70" s="5" t="s">
        <v>380</v>
      </c>
      <c r="H70" s="12">
        <v>40081</v>
      </c>
      <c r="I70" s="5">
        <v>431003230</v>
      </c>
      <c r="J70" s="5" t="s">
        <v>2</v>
      </c>
    </row>
    <row r="71" spans="1:10" ht="17" x14ac:dyDescent="0.5">
      <c r="A71" s="5">
        <v>57</v>
      </c>
      <c r="B71" s="5" t="s">
        <v>328</v>
      </c>
      <c r="C71" s="5" t="s">
        <v>870</v>
      </c>
      <c r="D71" s="11" t="s">
        <v>640</v>
      </c>
      <c r="E71" s="11" t="s">
        <v>923</v>
      </c>
      <c r="F71" s="11" t="s">
        <v>416</v>
      </c>
      <c r="G71" s="5" t="s">
        <v>381</v>
      </c>
      <c r="H71" s="12">
        <v>39522</v>
      </c>
      <c r="I71" s="5">
        <v>431914731</v>
      </c>
      <c r="J71" s="5" t="s">
        <v>2</v>
      </c>
    </row>
    <row r="72" spans="1:10" ht="17" x14ac:dyDescent="0.5">
      <c r="A72" s="5">
        <v>58</v>
      </c>
      <c r="B72" s="5" t="s">
        <v>329</v>
      </c>
      <c r="C72" s="5" t="s">
        <v>871</v>
      </c>
      <c r="D72" s="11" t="s">
        <v>924</v>
      </c>
      <c r="E72" s="11" t="s">
        <v>925</v>
      </c>
      <c r="F72" s="11" t="s">
        <v>401</v>
      </c>
      <c r="G72" s="5" t="s">
        <v>381</v>
      </c>
      <c r="H72" s="12">
        <v>40616</v>
      </c>
      <c r="I72" s="5">
        <v>431452159</v>
      </c>
      <c r="J72" s="5" t="s">
        <v>2</v>
      </c>
    </row>
    <row r="73" spans="1:10" ht="17" x14ac:dyDescent="0.5">
      <c r="A73" s="5">
        <v>59</v>
      </c>
      <c r="B73" s="5" t="s">
        <v>330</v>
      </c>
      <c r="C73" s="5" t="s">
        <v>872</v>
      </c>
      <c r="D73" s="11" t="s">
        <v>924</v>
      </c>
      <c r="E73" s="11" t="s">
        <v>415</v>
      </c>
      <c r="F73" s="11" t="s">
        <v>926</v>
      </c>
      <c r="G73" s="5" t="s">
        <v>380</v>
      </c>
      <c r="H73" s="12">
        <v>39453</v>
      </c>
      <c r="I73" s="5">
        <v>431452158</v>
      </c>
      <c r="J73" s="5" t="s">
        <v>2</v>
      </c>
    </row>
    <row r="74" spans="1:10" ht="17" x14ac:dyDescent="0.5">
      <c r="A74" s="5">
        <v>60</v>
      </c>
      <c r="B74" s="5" t="s">
        <v>331</v>
      </c>
      <c r="C74" s="5" t="s">
        <v>873</v>
      </c>
      <c r="D74" s="11" t="s">
        <v>927</v>
      </c>
      <c r="E74" s="11" t="s">
        <v>928</v>
      </c>
      <c r="F74" s="11" t="s">
        <v>479</v>
      </c>
      <c r="G74" s="5" t="s">
        <v>381</v>
      </c>
      <c r="H74" s="12">
        <v>39882</v>
      </c>
      <c r="I74" s="5">
        <v>1221402973</v>
      </c>
      <c r="J74" s="5" t="s">
        <v>2</v>
      </c>
    </row>
  </sheetData>
  <mergeCells count="1">
    <mergeCell ref="A1:J13"/>
  </mergeCells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C117-4E00-4C7B-95C7-A686EC7D38D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9B94D0C045C48956BED7A5177D24B" ma:contentTypeVersion="5" ma:contentTypeDescription="Create a new document." ma:contentTypeScope="" ma:versionID="0a0ce9c6b11c817125f13d429e28ff18">
  <xsd:schema xmlns:xsd="http://www.w3.org/2001/XMLSchema" xmlns:xs="http://www.w3.org/2001/XMLSchema" xmlns:p="http://schemas.microsoft.com/office/2006/metadata/properties" xmlns:ns3="ed563575-ae68-473b-b45d-48b1be27878e" targetNamespace="http://schemas.microsoft.com/office/2006/metadata/properties" ma:root="true" ma:fieldsID="224c29fa4bbe6f2cbb1e46c9bc220f63" ns3:_="">
    <xsd:import namespace="ed563575-ae68-473b-b45d-48b1be2787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63575-ae68-473b-b45d-48b1be2787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9EF65F-7924-4B9A-B25A-8BF506C084E9}">
  <ds:schemaRefs>
    <ds:schemaRef ds:uri="http://www.w3.org/XML/1998/namespace"/>
    <ds:schemaRef ds:uri="http://purl.org/dc/terms/"/>
    <ds:schemaRef ds:uri="http://purl.org/dc/elements/1.1/"/>
    <ds:schemaRef ds:uri="ed563575-ae68-473b-b45d-48b1be27878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623BA9A-AA20-4689-A4B5-3805D4267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63575-ae68-473b-b45d-48b1be278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019ECB-5EB7-4EAF-BB9E-DF194F6587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Grade 1</vt:lpstr>
      <vt:lpstr>Grade 2</vt:lpstr>
      <vt:lpstr>Grade 3</vt:lpstr>
      <vt:lpstr>Grade 4</vt:lpstr>
      <vt:lpstr>Grade 5</vt:lpstr>
      <vt:lpstr>Grade 6</vt:lpstr>
      <vt:lpstr>Grade 7</vt:lpstr>
      <vt:lpstr>Grade 8</vt:lpstr>
      <vt:lpstr>Grade 9</vt:lpstr>
      <vt:lpstr>Sheet2</vt:lpstr>
      <vt:lpstr>'Grade 1'!Print_Area</vt:lpstr>
      <vt:lpstr>'Grade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 onyango</dc:creator>
  <cp:lastModifiedBy>Geofrey onyango</cp:lastModifiedBy>
  <cp:lastPrinted>2025-09-26T09:28:44Z</cp:lastPrinted>
  <dcterms:created xsi:type="dcterms:W3CDTF">2025-09-02T09:23:30Z</dcterms:created>
  <dcterms:modified xsi:type="dcterms:W3CDTF">2025-10-03T14:13:55Z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0x0101001D49B94D0C045C48956BED7A5177D24B</vt:lpwstr>
  </property>
</Properties>
</file>